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cah\Google_Drive\School\"/>
    </mc:Choice>
  </mc:AlternateContent>
  <xr:revisionPtr revIDLastSave="0" documentId="8_{0E920EDA-F240-4F32-AAAA-0F33C594FFB0}" xr6:coauthVersionLast="31" xr6:coauthVersionMax="31" xr10:uidLastSave="{00000000-0000-0000-0000-000000000000}"/>
  <bookViews>
    <workbookView xWindow="7410" yWindow="0" windowWidth="20490" windowHeight="10110" xr2:uid="{7B85F60A-73BC-4CF6-BC21-EC1C77876AB7}"/>
  </bookViews>
  <sheets>
    <sheet name="Grades" sheetId="1" r:id="rId1"/>
    <sheet name="Example" sheetId="3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4" i="3" l="1"/>
  <c r="S14" i="3"/>
  <c r="T14" i="3" s="1"/>
  <c r="U14" i="3" s="1"/>
  <c r="AG14" i="3"/>
  <c r="AF14" i="3"/>
  <c r="AC14" i="3"/>
  <c r="AB14" i="3"/>
  <c r="Q14" i="3"/>
  <c r="P14" i="3"/>
  <c r="M14" i="3"/>
  <c r="L14" i="3"/>
  <c r="I14" i="3"/>
  <c r="H14" i="3"/>
  <c r="E14" i="3"/>
  <c r="D14" i="3"/>
  <c r="AI13" i="3"/>
  <c r="AG13" i="3"/>
  <c r="AF13" i="3"/>
  <c r="AC13" i="3"/>
  <c r="AB13" i="3"/>
  <c r="X13" i="3"/>
  <c r="Y13" i="3" s="1"/>
  <c r="U13" i="3"/>
  <c r="T13" i="3"/>
  <c r="P13" i="3"/>
  <c r="Q13" i="3" s="1"/>
  <c r="M13" i="3"/>
  <c r="L13" i="3"/>
  <c r="H13" i="3"/>
  <c r="I13" i="3" s="1"/>
  <c r="E13" i="3"/>
  <c r="D13" i="3"/>
  <c r="AI12" i="3"/>
  <c r="AG12" i="3"/>
  <c r="AF12" i="3"/>
  <c r="AC12" i="3"/>
  <c r="AB12" i="3"/>
  <c r="X12" i="3"/>
  <c r="Y12" i="3" s="1"/>
  <c r="T12" i="3"/>
  <c r="U12" i="3" s="1"/>
  <c r="P12" i="3"/>
  <c r="Q12" i="3" s="1"/>
  <c r="L12" i="3"/>
  <c r="M12" i="3" s="1"/>
  <c r="H12" i="3"/>
  <c r="I12" i="3" s="1"/>
  <c r="D12" i="3"/>
  <c r="E12" i="3" s="1"/>
  <c r="AI11" i="3"/>
  <c r="AG11" i="3"/>
  <c r="AF11" i="3"/>
  <c r="AC11" i="3"/>
  <c r="AB11" i="3"/>
  <c r="Y11" i="3"/>
  <c r="X11" i="3"/>
  <c r="T11" i="3"/>
  <c r="U11" i="3" s="1"/>
  <c r="Q11" i="3"/>
  <c r="P11" i="3"/>
  <c r="L11" i="3"/>
  <c r="M11" i="3" s="1"/>
  <c r="I11" i="3"/>
  <c r="H11" i="3"/>
  <c r="D11" i="3"/>
  <c r="E11" i="3" s="1"/>
  <c r="AI10" i="3"/>
  <c r="AG10" i="3"/>
  <c r="AF10" i="3"/>
  <c r="AC10" i="3"/>
  <c r="AB10" i="3"/>
  <c r="X10" i="3"/>
  <c r="Y10" i="3" s="1"/>
  <c r="T10" i="3"/>
  <c r="U10" i="3" s="1"/>
  <c r="P10" i="3"/>
  <c r="Q10" i="3" s="1"/>
  <c r="L10" i="3"/>
  <c r="M10" i="3" s="1"/>
  <c r="H10" i="3"/>
  <c r="I10" i="3" s="1"/>
  <c r="D10" i="3"/>
  <c r="E10" i="3" s="1"/>
  <c r="AI7" i="1"/>
  <c r="AI8" i="1"/>
  <c r="AI9" i="1"/>
  <c r="AI10" i="1"/>
  <c r="AI11" i="1"/>
  <c r="AI12" i="1"/>
  <c r="AI13" i="1"/>
  <c r="AI14" i="1"/>
  <c r="AI15" i="1"/>
  <c r="AI6" i="1"/>
  <c r="AI5" i="1"/>
  <c r="X14" i="3" l="1"/>
  <c r="Y14" i="3" s="1"/>
  <c r="AG6" i="1"/>
  <c r="AG7" i="1"/>
  <c r="AG8" i="1"/>
  <c r="AG17" i="1"/>
  <c r="AG5" i="1"/>
  <c r="AC16" i="1"/>
  <c r="AC17" i="1"/>
  <c r="Y6" i="1"/>
  <c r="Y9" i="1"/>
  <c r="Y11" i="1"/>
  <c r="Y12" i="1"/>
  <c r="Y13" i="1"/>
  <c r="Y17" i="1"/>
  <c r="U10" i="1"/>
  <c r="U11" i="1"/>
  <c r="U12" i="1"/>
  <c r="U13" i="1"/>
  <c r="U17" i="1"/>
  <c r="Q9" i="1"/>
  <c r="Q10" i="1"/>
  <c r="Q13" i="1"/>
  <c r="Q16" i="1"/>
  <c r="Q17" i="1"/>
  <c r="M9" i="1"/>
  <c r="M10" i="1"/>
  <c r="M13" i="1"/>
  <c r="M16" i="1"/>
  <c r="M17" i="1"/>
  <c r="I6" i="1"/>
  <c r="I11" i="1"/>
  <c r="I14" i="1"/>
  <c r="I16" i="1"/>
  <c r="I17" i="1"/>
  <c r="E12" i="1"/>
  <c r="E13" i="1"/>
  <c r="E14" i="1"/>
  <c r="E15" i="1"/>
  <c r="E16" i="1"/>
  <c r="E17" i="1"/>
  <c r="D12" i="1"/>
  <c r="AF6" i="1"/>
  <c r="AF7" i="1"/>
  <c r="AF8" i="1"/>
  <c r="AF9" i="1"/>
  <c r="AG9" i="1" s="1"/>
  <c r="AF10" i="1"/>
  <c r="AG10" i="1" s="1"/>
  <c r="AF11" i="1"/>
  <c r="AG11" i="1" s="1"/>
  <c r="AF12" i="1"/>
  <c r="AG12" i="1" s="1"/>
  <c r="AF13" i="1"/>
  <c r="AG13" i="1" s="1"/>
  <c r="AF14" i="1"/>
  <c r="AG14" i="1" s="1"/>
  <c r="AF15" i="1"/>
  <c r="AG15" i="1" s="1"/>
  <c r="AF16" i="1"/>
  <c r="AG16" i="1" s="1"/>
  <c r="AF17" i="1"/>
  <c r="AF5" i="1"/>
  <c r="AB6" i="1"/>
  <c r="AC6" i="1" s="1"/>
  <c r="AB7" i="1"/>
  <c r="AC7" i="1" s="1"/>
  <c r="AB8" i="1"/>
  <c r="AC8" i="1" s="1"/>
  <c r="AB9" i="1"/>
  <c r="AC9" i="1" s="1"/>
  <c r="AB10" i="1"/>
  <c r="AC10" i="1" s="1"/>
  <c r="AB11" i="1"/>
  <c r="AC11" i="1" s="1"/>
  <c r="AB12" i="1"/>
  <c r="AC12" i="1" s="1"/>
  <c r="AB13" i="1"/>
  <c r="AC13" i="1" s="1"/>
  <c r="AB14" i="1"/>
  <c r="AC14" i="1" s="1"/>
  <c r="AB15" i="1"/>
  <c r="AC15" i="1" s="1"/>
  <c r="AB16" i="1"/>
  <c r="AB17" i="1"/>
  <c r="AB5" i="1"/>
  <c r="AC5" i="1" s="1"/>
  <c r="X6" i="1"/>
  <c r="X7" i="1"/>
  <c r="Y7" i="1" s="1"/>
  <c r="X8" i="1"/>
  <c r="Y8" i="1" s="1"/>
  <c r="X9" i="1"/>
  <c r="X10" i="1"/>
  <c r="Y10" i="1" s="1"/>
  <c r="X11" i="1"/>
  <c r="X12" i="1"/>
  <c r="X13" i="1"/>
  <c r="X14" i="1"/>
  <c r="Y14" i="1" s="1"/>
  <c r="X15" i="1"/>
  <c r="Y15" i="1" s="1"/>
  <c r="X17" i="1"/>
  <c r="X5" i="1"/>
  <c r="Y5" i="1" s="1"/>
  <c r="T6" i="1"/>
  <c r="U6" i="1" s="1"/>
  <c r="T7" i="1"/>
  <c r="U7" i="1" s="1"/>
  <c r="T8" i="1"/>
  <c r="U8" i="1" s="1"/>
  <c r="T9" i="1"/>
  <c r="U9" i="1" s="1"/>
  <c r="T10" i="1"/>
  <c r="T11" i="1"/>
  <c r="T12" i="1"/>
  <c r="T13" i="1"/>
  <c r="T14" i="1"/>
  <c r="U14" i="1" s="1"/>
  <c r="T15" i="1"/>
  <c r="U15" i="1" s="1"/>
  <c r="T17" i="1"/>
  <c r="T5" i="1"/>
  <c r="U5" i="1" s="1"/>
  <c r="P6" i="1"/>
  <c r="Q6" i="1" s="1"/>
  <c r="P7" i="1"/>
  <c r="Q7" i="1" s="1"/>
  <c r="P8" i="1"/>
  <c r="Q8" i="1" s="1"/>
  <c r="P9" i="1"/>
  <c r="P10" i="1"/>
  <c r="P11" i="1"/>
  <c r="Q11" i="1" s="1"/>
  <c r="P12" i="1"/>
  <c r="Q12" i="1" s="1"/>
  <c r="P13" i="1"/>
  <c r="P14" i="1"/>
  <c r="Q14" i="1" s="1"/>
  <c r="P15" i="1"/>
  <c r="Q15" i="1" s="1"/>
  <c r="P16" i="1"/>
  <c r="P17" i="1"/>
  <c r="P5" i="1"/>
  <c r="Q5" i="1" s="1"/>
  <c r="L6" i="1"/>
  <c r="M6" i="1" s="1"/>
  <c r="L7" i="1"/>
  <c r="M7" i="1" s="1"/>
  <c r="L8" i="1"/>
  <c r="M8" i="1" s="1"/>
  <c r="L9" i="1"/>
  <c r="L10" i="1"/>
  <c r="L11" i="1"/>
  <c r="M11" i="1" s="1"/>
  <c r="L12" i="1"/>
  <c r="M12" i="1" s="1"/>
  <c r="L13" i="1"/>
  <c r="L14" i="1"/>
  <c r="M14" i="1" s="1"/>
  <c r="L15" i="1"/>
  <c r="M15" i="1" s="1"/>
  <c r="L16" i="1"/>
  <c r="L17" i="1"/>
  <c r="L5" i="1"/>
  <c r="M5" i="1" s="1"/>
  <c r="H5" i="1"/>
  <c r="I5" i="1" s="1"/>
  <c r="H6" i="1"/>
  <c r="H7" i="1"/>
  <c r="I7" i="1" s="1"/>
  <c r="H8" i="1"/>
  <c r="I8" i="1" s="1"/>
  <c r="H9" i="1"/>
  <c r="I9" i="1" s="1"/>
  <c r="H10" i="1"/>
  <c r="I10" i="1" s="1"/>
  <c r="H12" i="1"/>
  <c r="I12" i="1" s="1"/>
  <c r="H13" i="1"/>
  <c r="I13" i="1" s="1"/>
  <c r="H14" i="1"/>
  <c r="H15" i="1"/>
  <c r="I15" i="1" s="1"/>
  <c r="H16" i="1"/>
  <c r="H17" i="1"/>
  <c r="H11" i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3" i="1"/>
  <c r="D14" i="1"/>
  <c r="D15" i="1"/>
  <c r="D16" i="1"/>
  <c r="D17" i="1"/>
  <c r="W19" i="1"/>
  <c r="G19" i="1"/>
  <c r="K19" i="1"/>
  <c r="O19" i="1"/>
  <c r="AA19" i="1"/>
  <c r="AE19" i="1"/>
  <c r="C19" i="1"/>
  <c r="AE26" i="1"/>
  <c r="AE25" i="1"/>
  <c r="AA26" i="1"/>
  <c r="AA25" i="1"/>
  <c r="G26" i="1"/>
  <c r="K26" i="1"/>
  <c r="O26" i="1"/>
  <c r="C26" i="1"/>
  <c r="G25" i="1"/>
  <c r="K25" i="1"/>
  <c r="O25" i="1"/>
  <c r="C25" i="1"/>
  <c r="G24" i="1"/>
  <c r="K24" i="1"/>
  <c r="O24" i="1"/>
  <c r="AA24" i="1"/>
  <c r="AE24" i="1"/>
  <c r="C24" i="1"/>
  <c r="G23" i="1"/>
  <c r="K23" i="1"/>
  <c r="O23" i="1"/>
  <c r="AA23" i="1"/>
  <c r="AE23" i="1"/>
  <c r="C23" i="1"/>
  <c r="G22" i="1"/>
  <c r="K22" i="1"/>
  <c r="O22" i="1"/>
  <c r="S26" i="1"/>
  <c r="AA22" i="1"/>
  <c r="AE22" i="1"/>
  <c r="C22" i="1"/>
  <c r="C21" i="1"/>
  <c r="G21" i="1"/>
  <c r="K21" i="1"/>
  <c r="O21" i="1"/>
  <c r="AA21" i="1"/>
  <c r="AE21" i="1"/>
  <c r="AA20" i="1"/>
  <c r="AE20" i="1"/>
  <c r="C20" i="1"/>
  <c r="G20" i="1"/>
  <c r="K20" i="1"/>
  <c r="O20" i="1"/>
  <c r="O31" i="1" l="1"/>
  <c r="K30" i="1"/>
  <c r="G31" i="1"/>
  <c r="C30" i="1"/>
  <c r="K31" i="1"/>
  <c r="G30" i="1"/>
  <c r="C31" i="1"/>
  <c r="O30" i="1"/>
  <c r="AE27" i="1"/>
  <c r="AE30" i="1"/>
  <c r="AE31" i="1"/>
  <c r="AA27" i="1"/>
  <c r="AA30" i="1"/>
  <c r="T16" i="1"/>
  <c r="U16" i="1" s="1"/>
  <c r="X16" i="1"/>
  <c r="Y16" i="1" s="1"/>
  <c r="AA31" i="1" s="1"/>
  <c r="W20" i="1"/>
  <c r="W22" i="1"/>
  <c r="W25" i="1"/>
  <c r="W21" i="1"/>
  <c r="W23" i="1"/>
  <c r="W26" i="1"/>
  <c r="AL18" i="1" s="1"/>
  <c r="S19" i="1"/>
  <c r="W24" i="1"/>
  <c r="S20" i="1"/>
  <c r="AM12" i="1" s="1"/>
  <c r="S21" i="1"/>
  <c r="S22" i="1"/>
  <c r="S23" i="1"/>
  <c r="S24" i="1"/>
  <c r="S25" i="1"/>
  <c r="G27" i="1"/>
  <c r="C27" i="1"/>
  <c r="O27" i="1"/>
  <c r="K27" i="1"/>
  <c r="AL12" i="1" l="1"/>
  <c r="AM14" i="1"/>
  <c r="AM13" i="1"/>
  <c r="AL17" i="1"/>
  <c r="AM15" i="1"/>
  <c r="AM18" i="1"/>
  <c r="AL13" i="1"/>
  <c r="AL16" i="1"/>
  <c r="AL14" i="1"/>
  <c r="AM17" i="1"/>
  <c r="AL15" i="1"/>
  <c r="AM16" i="1"/>
  <c r="S30" i="1"/>
  <c r="S31" i="1"/>
  <c r="W30" i="1"/>
  <c r="W31" i="1"/>
  <c r="O28" i="1"/>
  <c r="G28" i="1"/>
  <c r="K28" i="1"/>
  <c r="C28" i="1"/>
  <c r="W27" i="1"/>
  <c r="S27" i="1"/>
  <c r="S28" i="1" s="1"/>
  <c r="AE28" i="1" l="1"/>
  <c r="AA28" i="1"/>
  <c r="W28" i="1"/>
</calcChain>
</file>

<file path=xl/sharedStrings.xml><?xml version="1.0" encoding="utf-8"?>
<sst xmlns="http://schemas.openxmlformats.org/spreadsheetml/2006/main" count="125" uniqueCount="44">
  <si>
    <t>Freshman</t>
  </si>
  <si>
    <t>Sophmore</t>
  </si>
  <si>
    <t>Junior</t>
  </si>
  <si>
    <t>Senior</t>
  </si>
  <si>
    <t>Math</t>
  </si>
  <si>
    <t>Social Studies</t>
  </si>
  <si>
    <t>Science</t>
  </si>
  <si>
    <t>9-1</t>
  </si>
  <si>
    <t>9-2</t>
  </si>
  <si>
    <t>10-1</t>
  </si>
  <si>
    <t>10-2</t>
  </si>
  <si>
    <t>11-1</t>
  </si>
  <si>
    <t>11-2</t>
  </si>
  <si>
    <t>12-1</t>
  </si>
  <si>
    <t>12-2</t>
  </si>
  <si>
    <t>Credits Earned</t>
  </si>
  <si>
    <t>A</t>
  </si>
  <si>
    <t>B</t>
  </si>
  <si>
    <t>C</t>
  </si>
  <si>
    <t>Double Credits</t>
  </si>
  <si>
    <t>Credits Possible</t>
  </si>
  <si>
    <t>D</t>
  </si>
  <si>
    <t>F</t>
  </si>
  <si>
    <t>GPA by Semester</t>
  </si>
  <si>
    <t>Cumulative GPA</t>
  </si>
  <si>
    <t>Grade Tracker</t>
  </si>
  <si>
    <t>Average for Class</t>
  </si>
  <si>
    <t>Class Type</t>
  </si>
  <si>
    <t>W</t>
  </si>
  <si>
    <t>L</t>
  </si>
  <si>
    <t>GPA</t>
  </si>
  <si>
    <t>Weighted GPA/Sem</t>
  </si>
  <si>
    <t>Cum. Weighted GPA</t>
  </si>
  <si>
    <t>Key</t>
  </si>
  <si>
    <t>Click Here for a Tutorial</t>
  </si>
  <si>
    <t>Grades</t>
  </si>
  <si>
    <t>Click on the data in this example sheet for an explanation on how the data should be formatted</t>
  </si>
  <si>
    <t>Computer Science</t>
  </si>
  <si>
    <t>There you go! From there, it's very simple. The rest of the data will fill itself out once the table data is entered.</t>
  </si>
  <si>
    <t>Made by Micah Gomez</t>
  </si>
  <si>
    <t>Click here to contact me</t>
  </si>
  <si>
    <t>Filled Cell</t>
  </si>
  <si>
    <t>Data cannot be entered</t>
  </si>
  <si>
    <t>Data can be entered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</si>
</sst>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3"/>
      <name val="Calibri Light"/>
      <family val="2"/>
      <scheme val="maj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9" tint="-0.499984740745262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theme="9" tint="0.5999938962981048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9">
    <border>
      <left/>
      <right/>
      <top/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medium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thin">
        <color theme="9" tint="-0.499984740745262"/>
      </left>
      <right style="medium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/>
      <right style="medium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 style="medium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/>
      <right/>
      <top style="medium">
        <color theme="9" tint="-0.499984740745262"/>
      </top>
      <bottom/>
      <diagonal/>
    </border>
    <border>
      <left/>
      <right/>
      <top/>
      <bottom style="medium">
        <color theme="9" tint="-0.499984740745262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double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thin">
        <color theme="9" tint="-0.499984740745262"/>
      </top>
      <bottom style="double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/>
      <bottom style="double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double">
        <color theme="9" tint="-0.499984740745262"/>
      </top>
      <bottom style="double">
        <color theme="9" tint="-0.499984740745262"/>
      </bottom>
      <diagonal/>
    </border>
    <border>
      <left/>
      <right style="medium">
        <color theme="9" tint="-0.499984740745262"/>
      </right>
      <top/>
      <bottom style="double">
        <color theme="9" tint="-0.499984740745262"/>
      </bottom>
      <diagonal/>
    </border>
    <border>
      <left style="thin">
        <color theme="9" tint="-0.499984740745262"/>
      </left>
      <right/>
      <top style="medium">
        <color theme="9" tint="-0.499984740745262"/>
      </top>
      <bottom/>
      <diagonal/>
    </border>
    <border>
      <left style="thin">
        <color theme="9" tint="-0.499984740745262"/>
      </left>
      <right/>
      <top/>
      <bottom style="double">
        <color theme="9" tint="-0.499984740745262"/>
      </bottom>
      <diagonal/>
    </border>
    <border>
      <left style="thin">
        <color theme="9" tint="-0.499984740745262"/>
      </left>
      <right/>
      <top/>
      <bottom/>
      <diagonal/>
    </border>
    <border>
      <left style="thin">
        <color theme="9" tint="-0.499984740745262"/>
      </left>
      <right style="medium">
        <color theme="9" tint="-0.499984740745262"/>
      </right>
      <top/>
      <bottom/>
      <diagonal/>
    </border>
    <border>
      <left style="thin">
        <color theme="9" tint="-0.499984740745262"/>
      </left>
      <right/>
      <top/>
      <bottom style="medium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 style="thin">
        <color theme="9" tint="-0.499984740745262"/>
      </right>
      <top/>
      <bottom style="double">
        <color theme="9" tint="-0.499984740745262"/>
      </bottom>
      <diagonal/>
    </border>
    <border>
      <left style="medium">
        <color theme="9" tint="-0.499984740745262"/>
      </left>
      <right style="thin">
        <color theme="9" tint="-0.499984740745262"/>
      </right>
      <top/>
      <bottom/>
      <diagonal/>
    </border>
    <border>
      <left style="medium">
        <color theme="9" tint="-0.499984740745262"/>
      </left>
      <right style="thin">
        <color theme="9" tint="-0.499984740745262"/>
      </right>
      <top/>
      <bottom style="medium">
        <color theme="9" tint="-0.499984740745262"/>
      </bottom>
      <diagonal/>
    </border>
    <border>
      <left style="thin">
        <color theme="9" tint="-0.499984740745262"/>
      </left>
      <right/>
      <top style="medium">
        <color theme="9" tint="-0.499984740745262"/>
      </top>
      <bottom style="double">
        <color theme="9" tint="-0.499984740745262"/>
      </bottom>
      <diagonal/>
    </border>
    <border>
      <left/>
      <right style="thin">
        <color theme="9" tint="-0.499984740745262"/>
      </right>
      <top style="medium">
        <color theme="9" tint="-0.499984740745262"/>
      </top>
      <bottom/>
      <diagonal/>
    </border>
    <border>
      <left/>
      <right style="thin">
        <color theme="9" tint="-0.499984740745262"/>
      </right>
      <top/>
      <bottom style="medium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 style="medium">
        <color theme="9" tint="-0.499984740745262"/>
      </top>
      <bottom style="double">
        <color theme="9" tint="-0.499984740745262"/>
      </bottom>
      <diagonal/>
    </border>
    <border>
      <left style="thin">
        <color theme="9" tint="-0.499984740745262"/>
      </left>
      <right style="thin">
        <color theme="9" tint="-0.499984740745262"/>
      </right>
      <top/>
      <bottom style="medium">
        <color theme="9" tint="-0.499984740745262"/>
      </bottom>
      <diagonal/>
    </border>
    <border>
      <left style="thin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double">
        <color theme="9" tint="-0.499984740745262"/>
      </bottom>
      <diagonal/>
    </border>
    <border>
      <left style="thin">
        <color theme="9" tint="-0.499984740745262"/>
      </left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 style="medium">
        <color theme="9" tint="-0.499984740745262"/>
      </right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double">
        <color theme="9" tint="-0.499984740745262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0">
    <xf numFmtId="0" fontId="0" fillId="0" borderId="0" xfId="0"/>
    <xf numFmtId="0" fontId="0" fillId="7" borderId="3" xfId="0" applyFill="1" applyBorder="1"/>
    <xf numFmtId="49" fontId="4" fillId="2" borderId="12" xfId="0" applyNumberFormat="1" applyFont="1" applyFill="1" applyBorder="1"/>
    <xf numFmtId="49" fontId="4" fillId="2" borderId="13" xfId="0" applyNumberFormat="1" applyFont="1" applyFill="1" applyBorder="1"/>
    <xf numFmtId="49" fontId="4" fillId="2" borderId="14" xfId="0" applyNumberFormat="1" applyFont="1" applyFill="1" applyBorder="1"/>
    <xf numFmtId="1" fontId="0" fillId="3" borderId="4" xfId="1" applyNumberFormat="1" applyFont="1" applyFill="1" applyBorder="1" applyAlignment="1">
      <alignment horizontal="right"/>
    </xf>
    <xf numFmtId="1" fontId="0" fillId="4" borderId="4" xfId="1" applyNumberFormat="1" applyFont="1" applyFill="1" applyBorder="1" applyAlignment="1">
      <alignment horizontal="right"/>
    </xf>
    <xf numFmtId="0" fontId="4" fillId="2" borderId="15" xfId="0" applyFont="1" applyFill="1" applyBorder="1"/>
    <xf numFmtId="49" fontId="4" fillId="2" borderId="16" xfId="0" applyNumberFormat="1" applyFont="1" applyFill="1" applyBorder="1"/>
    <xf numFmtId="1" fontId="5" fillId="5" borderId="1" xfId="1" applyNumberFormat="1" applyFont="1" applyFill="1" applyBorder="1" applyAlignment="1">
      <alignment horizontal="center"/>
    </xf>
    <xf numFmtId="1" fontId="5" fillId="5" borderId="17" xfId="1" applyNumberFormat="1" applyFont="1" applyFill="1" applyBorder="1" applyAlignment="1">
      <alignment horizontal="center"/>
    </xf>
    <xf numFmtId="1" fontId="5" fillId="5" borderId="5" xfId="1" applyNumberFormat="1" applyFont="1" applyFill="1" applyBorder="1" applyAlignment="1">
      <alignment horizontal="center"/>
    </xf>
    <xf numFmtId="0" fontId="6" fillId="4" borderId="27" xfId="0" applyFont="1" applyFill="1" applyBorder="1"/>
    <xf numFmtId="0" fontId="6" fillId="3" borderId="27" xfId="0" applyFont="1" applyFill="1" applyBorder="1"/>
    <xf numFmtId="1" fontId="5" fillId="6" borderId="26" xfId="1" applyNumberFormat="1" applyFont="1" applyFill="1" applyBorder="1"/>
    <xf numFmtId="1" fontId="5" fillId="6" borderId="28" xfId="1" applyNumberFormat="1" applyFont="1" applyFill="1" applyBorder="1"/>
    <xf numFmtId="1" fontId="5" fillId="6" borderId="20" xfId="1" applyNumberFormat="1" applyFont="1" applyFill="1" applyBorder="1"/>
    <xf numFmtId="0" fontId="0" fillId="7" borderId="22" xfId="0" applyFill="1" applyBorder="1"/>
    <xf numFmtId="0" fontId="0" fillId="7" borderId="46" xfId="0" applyFill="1" applyBorder="1"/>
    <xf numFmtId="0" fontId="0" fillId="7" borderId="47" xfId="0" applyFill="1" applyBorder="1"/>
    <xf numFmtId="0" fontId="4" fillId="2" borderId="18" xfId="0" applyFont="1" applyFill="1" applyBorder="1"/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49" fontId="0" fillId="7" borderId="10" xfId="0" applyNumberFormat="1" applyFill="1" applyBorder="1" applyAlignment="1">
      <alignment horizontal="center"/>
    </xf>
    <xf numFmtId="49" fontId="0" fillId="7" borderId="11" xfId="0" applyNumberFormat="1" applyFill="1" applyBorder="1" applyAlignment="1">
      <alignment horizontal="center"/>
    </xf>
    <xf numFmtId="49" fontId="0" fillId="7" borderId="9" xfId="0" applyNumberFormat="1" applyFill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3" borderId="27" xfId="0" applyFont="1" applyFill="1" applyBorder="1" applyProtection="1">
      <protection locked="0"/>
    </xf>
    <xf numFmtId="1" fontId="0" fillId="3" borderId="4" xfId="1" applyNumberFormat="1" applyFont="1" applyFill="1" applyBorder="1" applyAlignment="1" applyProtection="1">
      <alignment horizontal="right"/>
      <protection locked="0"/>
    </xf>
    <xf numFmtId="1" fontId="5" fillId="5" borderId="5" xfId="1" applyNumberFormat="1" applyFont="1" applyFill="1" applyBorder="1" applyAlignment="1" applyProtection="1">
      <alignment horizontal="center"/>
      <protection locked="0"/>
    </xf>
    <xf numFmtId="0" fontId="6" fillId="4" borderId="27" xfId="0" applyFont="1" applyFill="1" applyBorder="1" applyProtection="1">
      <protection locked="0"/>
    </xf>
    <xf numFmtId="1" fontId="0" fillId="4" borderId="4" xfId="1" applyNumberFormat="1" applyFont="1" applyFill="1" applyBorder="1" applyAlignment="1" applyProtection="1">
      <alignment horizontal="right"/>
      <protection locked="0"/>
    </xf>
    <xf numFmtId="1" fontId="0" fillId="3" borderId="6" xfId="1" applyNumberFormat="1" applyFont="1" applyFill="1" applyBorder="1" applyAlignment="1" applyProtection="1">
      <alignment horizontal="right"/>
      <protection locked="0"/>
    </xf>
    <xf numFmtId="1" fontId="5" fillId="5" borderId="8" xfId="1" applyNumberFormat="1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 applyAlignment="1" applyProtection="1"/>
    <xf numFmtId="0" fontId="0" fillId="0" borderId="38" xfId="0" applyBorder="1" applyProtection="1"/>
    <xf numFmtId="9" fontId="0" fillId="0" borderId="34" xfId="1" applyFont="1" applyBorder="1" applyAlignment="1" applyProtection="1">
      <alignment horizontal="center"/>
    </xf>
    <xf numFmtId="9" fontId="0" fillId="0" borderId="20" xfId="1" applyFont="1" applyBorder="1" applyAlignment="1" applyProtection="1">
      <alignment horizontal="center"/>
    </xf>
    <xf numFmtId="0" fontId="0" fillId="0" borderId="25" xfId="0" applyBorder="1" applyProtection="1"/>
    <xf numFmtId="164" fontId="0" fillId="0" borderId="39" xfId="0" applyNumberFormat="1" applyBorder="1" applyProtection="1"/>
    <xf numFmtId="0" fontId="0" fillId="8" borderId="30" xfId="0" applyFill="1" applyBorder="1" applyAlignment="1" applyProtection="1">
      <alignment horizontal="center"/>
    </xf>
    <xf numFmtId="0" fontId="0" fillId="8" borderId="23" xfId="0" applyFill="1" applyBorder="1" applyAlignment="1" applyProtection="1">
      <alignment horizontal="center"/>
    </xf>
    <xf numFmtId="0" fontId="0" fillId="8" borderId="40" xfId="0" applyFill="1" applyBorder="1" applyAlignment="1" applyProtection="1">
      <alignment horizontal="center"/>
    </xf>
    <xf numFmtId="0" fontId="0" fillId="0" borderId="39" xfId="0" applyBorder="1" applyProtection="1"/>
    <xf numFmtId="0" fontId="0" fillId="0" borderId="30" xfId="0" applyBorder="1" applyAlignment="1" applyProtection="1">
      <alignment horizontal="center"/>
    </xf>
    <xf numFmtId="0" fontId="0" fillId="0" borderId="23" xfId="0" applyBorder="1" applyAlignment="1" applyProtection="1">
      <alignment horizontal="center"/>
    </xf>
    <xf numFmtId="0" fontId="0" fillId="0" borderId="40" xfId="0" applyBorder="1" applyAlignment="1" applyProtection="1">
      <alignment horizontal="center"/>
    </xf>
    <xf numFmtId="0" fontId="0" fillId="0" borderId="42" xfId="0" applyBorder="1" applyProtection="1"/>
    <xf numFmtId="0" fontId="0" fillId="0" borderId="44" xfId="0" applyBorder="1" applyProtection="1"/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9" xfId="0" applyBorder="1" applyProtection="1"/>
    <xf numFmtId="164" fontId="0" fillId="0" borderId="34" xfId="0" applyNumberFormat="1" applyBorder="1" applyProtection="1"/>
    <xf numFmtId="0" fontId="0" fillId="8" borderId="34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41" xfId="0" applyFill="1" applyBorder="1" applyAlignment="1" applyProtection="1">
      <alignment horizontal="center"/>
    </xf>
    <xf numFmtId="0" fontId="0" fillId="0" borderId="34" xfId="0" applyBorder="1" applyAlignment="1" applyProtection="1">
      <alignment horizontal="center"/>
    </xf>
    <xf numFmtId="0" fontId="0" fillId="0" borderId="24" xfId="0" applyBorder="1" applyAlignment="1" applyProtection="1">
      <alignment horizontal="center"/>
    </xf>
    <xf numFmtId="0" fontId="0" fillId="0" borderId="41" xfId="0" applyBorder="1" applyAlignment="1" applyProtection="1">
      <alignment horizontal="center"/>
    </xf>
    <xf numFmtId="164" fontId="0" fillId="0" borderId="43" xfId="0" applyNumberFormat="1" applyBorder="1" applyProtection="1"/>
    <xf numFmtId="0" fontId="0" fillId="0" borderId="43" xfId="0" applyBorder="1" applyProtection="1"/>
    <xf numFmtId="0" fontId="0" fillId="0" borderId="45" xfId="0" applyBorder="1" applyProtection="1"/>
    <xf numFmtId="0" fontId="0" fillId="0" borderId="19" xfId="0" applyBorder="1" applyAlignment="1" applyProtection="1">
      <alignment horizontal="center"/>
    </xf>
    <xf numFmtId="0" fontId="0" fillId="0" borderId="20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164" fontId="0" fillId="0" borderId="30" xfId="0" applyNumberFormat="1" applyBorder="1" applyAlignment="1" applyProtection="1">
      <alignment horizontal="center"/>
    </xf>
    <xf numFmtId="164" fontId="0" fillId="0" borderId="23" xfId="0" applyNumberFormat="1" applyBorder="1" applyAlignment="1" applyProtection="1">
      <alignment horizontal="center"/>
    </xf>
    <xf numFmtId="164" fontId="0" fillId="0" borderId="40" xfId="0" applyNumberFormat="1" applyBorder="1" applyAlignment="1" applyProtection="1">
      <alignment horizontal="center"/>
    </xf>
    <xf numFmtId="164" fontId="0" fillId="0" borderId="42" xfId="0" applyNumberFormat="1" applyBorder="1" applyProtection="1"/>
    <xf numFmtId="164" fontId="0" fillId="0" borderId="44" xfId="0" applyNumberFormat="1" applyBorder="1" applyProtection="1"/>
    <xf numFmtId="164" fontId="0" fillId="0" borderId="34" xfId="0" applyNumberFormat="1" applyBorder="1" applyAlignment="1" applyProtection="1">
      <alignment horizontal="center"/>
    </xf>
    <xf numFmtId="164" fontId="0" fillId="0" borderId="24" xfId="0" applyNumberFormat="1" applyBorder="1" applyAlignment="1" applyProtection="1">
      <alignment horizontal="center"/>
    </xf>
    <xf numFmtId="164" fontId="0" fillId="0" borderId="41" xfId="0" applyNumberFormat="1" applyBorder="1" applyAlignment="1" applyProtection="1">
      <alignment horizontal="center"/>
    </xf>
    <xf numFmtId="0" fontId="0" fillId="0" borderId="34" xfId="0" applyBorder="1" applyProtection="1"/>
    <xf numFmtId="1" fontId="5" fillId="6" borderId="20" xfId="1" applyNumberFormat="1" applyFont="1" applyFill="1" applyBorder="1" applyProtection="1"/>
    <xf numFmtId="0" fontId="0" fillId="0" borderId="37" xfId="0" applyBorder="1" applyProtection="1"/>
    <xf numFmtId="9" fontId="0" fillId="0" borderId="33" xfId="1" applyFont="1" applyBorder="1" applyAlignment="1" applyProtection="1">
      <alignment horizontal="center"/>
    </xf>
    <xf numFmtId="9" fontId="0" fillId="0" borderId="22" xfId="1" applyFont="1" applyBorder="1" applyAlignment="1" applyProtection="1">
      <alignment horizontal="center"/>
    </xf>
    <xf numFmtId="1" fontId="5" fillId="5" borderId="7" xfId="1" applyNumberFormat="1" applyFont="1" applyFill="1" applyBorder="1" applyAlignment="1" applyProtection="1">
      <alignment horizontal="center"/>
    </xf>
    <xf numFmtId="1" fontId="5" fillId="5" borderId="17" xfId="1" applyNumberFormat="1" applyFont="1" applyFill="1" applyBorder="1" applyAlignment="1" applyProtection="1">
      <alignment horizontal="center"/>
    </xf>
    <xf numFmtId="0" fontId="6" fillId="3" borderId="19" xfId="0" applyFont="1" applyFill="1" applyBorder="1" applyProtection="1"/>
    <xf numFmtId="1" fontId="5" fillId="6" borderId="26" xfId="1" applyNumberFormat="1" applyFont="1" applyFill="1" applyBorder="1" applyProtection="1"/>
    <xf numFmtId="0" fontId="0" fillId="0" borderId="21" xfId="0" applyBorder="1" applyProtection="1"/>
    <xf numFmtId="0" fontId="0" fillId="9" borderId="22" xfId="0" applyFill="1" applyBorder="1" applyProtection="1"/>
    <xf numFmtId="1" fontId="5" fillId="6" borderId="28" xfId="1" applyNumberFormat="1" applyFont="1" applyFill="1" applyBorder="1" applyProtection="1"/>
    <xf numFmtId="1" fontId="5" fillId="5" borderId="20" xfId="1" applyNumberFormat="1" applyFont="1" applyFill="1" applyBorder="1" applyAlignment="1" applyProtection="1">
      <alignment horizontal="center"/>
    </xf>
    <xf numFmtId="0" fontId="11" fillId="10" borderId="2" xfId="3" applyFont="1" applyFill="1" applyBorder="1" applyAlignment="1" applyProtection="1">
      <alignment horizontal="center" vertical="center" wrapText="1"/>
    </xf>
    <xf numFmtId="0" fontId="11" fillId="10" borderId="23" xfId="3" applyFont="1" applyFill="1" applyBorder="1" applyAlignment="1" applyProtection="1">
      <alignment horizontal="center" vertical="center" wrapText="1"/>
    </xf>
    <xf numFmtId="0" fontId="11" fillId="10" borderId="3" xfId="3" applyFont="1" applyFill="1" applyBorder="1" applyAlignment="1" applyProtection="1">
      <alignment horizontal="center" vertical="center" wrapText="1"/>
    </xf>
    <xf numFmtId="0" fontId="11" fillId="10" borderId="19" xfId="3" applyFont="1" applyFill="1" applyBorder="1" applyAlignment="1" applyProtection="1">
      <alignment horizontal="center" vertical="center" wrapText="1"/>
    </xf>
    <xf numFmtId="0" fontId="11" fillId="10" borderId="24" xfId="3" applyFont="1" applyFill="1" applyBorder="1" applyAlignment="1" applyProtection="1">
      <alignment horizontal="center" vertical="center" wrapText="1"/>
    </xf>
    <xf numFmtId="0" fontId="11" fillId="10" borderId="20" xfId="3" applyFont="1" applyFill="1" applyBorder="1" applyAlignment="1" applyProtection="1">
      <alignment horizontal="center" vertical="center" wrapText="1"/>
    </xf>
    <xf numFmtId="0" fontId="0" fillId="0" borderId="35" xfId="0" applyBorder="1" applyProtection="1"/>
    <xf numFmtId="9" fontId="0" fillId="0" borderId="30" xfId="1" applyFont="1" applyBorder="1" applyAlignment="1" applyProtection="1">
      <alignment horizontal="center"/>
    </xf>
    <xf numFmtId="9" fontId="0" fillId="0" borderId="3" xfId="1" applyFont="1" applyBorder="1" applyAlignment="1" applyProtection="1">
      <alignment horizontal="center"/>
    </xf>
    <xf numFmtId="0" fontId="0" fillId="0" borderId="36" xfId="0" applyBorder="1" applyProtection="1"/>
    <xf numFmtId="9" fontId="0" fillId="0" borderId="31" xfId="1" applyFont="1" applyBorder="1" applyAlignment="1" applyProtection="1">
      <alignment horizontal="center"/>
    </xf>
    <xf numFmtId="9" fontId="0" fillId="0" borderId="29" xfId="1" applyFont="1" applyBorder="1" applyAlignment="1" applyProtection="1">
      <alignment horizontal="center"/>
    </xf>
    <xf numFmtId="9" fontId="0" fillId="0" borderId="32" xfId="1" applyFont="1" applyBorder="1" applyAlignment="1" applyProtection="1">
      <alignment horizontal="center"/>
    </xf>
    <xf numFmtId="1" fontId="5" fillId="5" borderId="1" xfId="1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center" vertical="center" wrapText="1"/>
    </xf>
    <xf numFmtId="0" fontId="7" fillId="0" borderId="24" xfId="2" applyFont="1" applyBorder="1" applyAlignment="1" applyProtection="1">
      <alignment horizontal="center"/>
    </xf>
    <xf numFmtId="0" fontId="0" fillId="0" borderId="0" xfId="0" applyAlignment="1" applyProtection="1"/>
    <xf numFmtId="0" fontId="0" fillId="7" borderId="46" xfId="0" applyFill="1" applyBorder="1" applyProtection="1"/>
    <xf numFmtId="0" fontId="0" fillId="7" borderId="10" xfId="0" applyFill="1" applyBorder="1" applyAlignment="1" applyProtection="1">
      <alignment horizontal="center"/>
    </xf>
    <xf numFmtId="0" fontId="0" fillId="7" borderId="11" xfId="0" applyFill="1" applyBorder="1" applyAlignment="1" applyProtection="1">
      <alignment horizontal="center"/>
    </xf>
    <xf numFmtId="0" fontId="0" fillId="7" borderId="9" xfId="0" applyFill="1" applyBorder="1" applyAlignment="1" applyProtection="1">
      <alignment horizontal="center"/>
    </xf>
    <xf numFmtId="0" fontId="0" fillId="7" borderId="3" xfId="0" applyFill="1" applyBorder="1" applyProtection="1"/>
    <xf numFmtId="0" fontId="0" fillId="0" borderId="9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0" fillId="7" borderId="47" xfId="0" applyFill="1" applyBorder="1" applyProtection="1"/>
    <xf numFmtId="49" fontId="0" fillId="7" borderId="10" xfId="0" applyNumberFormat="1" applyFill="1" applyBorder="1" applyAlignment="1" applyProtection="1">
      <alignment horizontal="center"/>
    </xf>
    <xf numFmtId="49" fontId="0" fillId="7" borderId="11" xfId="0" applyNumberFormat="1" applyFill="1" applyBorder="1" applyAlignment="1" applyProtection="1">
      <alignment horizontal="center"/>
    </xf>
    <xf numFmtId="49" fontId="0" fillId="7" borderId="9" xfId="0" applyNumberFormat="1" applyFill="1" applyBorder="1" applyAlignment="1" applyProtection="1">
      <alignment horizontal="center"/>
    </xf>
    <xf numFmtId="0" fontId="0" fillId="7" borderId="22" xfId="0" applyFill="1" applyBorder="1" applyProtection="1"/>
    <xf numFmtId="0" fontId="0" fillId="0" borderId="25" xfId="0" applyBorder="1" applyAlignment="1" applyProtection="1">
      <alignment horizontal="center"/>
    </xf>
    <xf numFmtId="0" fontId="0" fillId="0" borderId="48" xfId="0" applyBorder="1" applyAlignment="1" applyProtection="1">
      <alignment horizontal="center"/>
    </xf>
    <xf numFmtId="0" fontId="0" fillId="0" borderId="0" xfId="0" applyBorder="1" applyAlignment="1" applyProtection="1"/>
    <xf numFmtId="0" fontId="4" fillId="2" borderId="18" xfId="0" applyFont="1" applyFill="1" applyBorder="1" applyProtection="1"/>
    <xf numFmtId="49" fontId="4" fillId="2" borderId="12" xfId="0" applyNumberFormat="1" applyFont="1" applyFill="1" applyBorder="1" applyProtection="1"/>
    <xf numFmtId="49" fontId="4" fillId="2" borderId="13" xfId="0" applyNumberFormat="1" applyFont="1" applyFill="1" applyBorder="1" applyProtection="1"/>
    <xf numFmtId="49" fontId="4" fillId="2" borderId="16" xfId="0" applyNumberFormat="1" applyFont="1" applyFill="1" applyBorder="1" applyProtection="1"/>
    <xf numFmtId="49" fontId="4" fillId="2" borderId="14" xfId="0" applyNumberFormat="1" applyFont="1" applyFill="1" applyBorder="1" applyProtection="1"/>
    <xf numFmtId="0" fontId="4" fillId="2" borderId="15" xfId="0" applyFont="1" applyFill="1" applyBorder="1" applyProtection="1"/>
    <xf numFmtId="1" fontId="0" fillId="3" borderId="22" xfId="1" applyNumberFormat="1" applyFont="1" applyFill="1" applyBorder="1" applyAlignment="1" applyProtection="1">
      <alignment horizontal="right"/>
    </xf>
  </cellXfs>
  <cellStyles count="4">
    <cellStyle name="Hyperlink" xfId="3" builtinId="8"/>
    <cellStyle name="Normal" xfId="0" builtinId="0"/>
    <cellStyle name="Percent" xfId="1" builtinId="5"/>
    <cellStyle name="Title" xfId="2" builtinId="15"/>
  </cellStyles>
  <dxfs count="18">
    <dxf>
      <fill>
        <patternFill>
          <bgColor theme="9" tint="-0.499984740745262"/>
        </patternFill>
      </fill>
    </dxf>
    <dxf>
      <fill>
        <patternFill patternType="darkDown">
          <fgColor theme="9" tint="-0.499984740745262"/>
          <bgColor auto="1"/>
        </patternFill>
      </fill>
    </dxf>
    <dxf>
      <fill>
        <patternFill patternType="darkDown">
          <fgColor theme="9" tint="-0.499984740745262"/>
          <bgColor auto="1"/>
        </patternFill>
      </fill>
    </dxf>
    <dxf>
      <fill>
        <patternFill patternType="gray125">
          <fgColor rgb="FFC00000"/>
        </patternFill>
      </fill>
    </dxf>
    <dxf>
      <fill>
        <patternFill patternType="darkDown">
          <fgColor theme="9" tint="-0.499984740745262"/>
          <bgColor auto="1"/>
        </patternFill>
      </fill>
    </dxf>
    <dxf>
      <fill>
        <patternFill patternType="gray125">
          <fgColor rgb="FFC00000"/>
        </patternFill>
      </fill>
    </dxf>
    <dxf>
      <fill>
        <patternFill patternType="gray125">
          <fgColor rgb="FFC00000"/>
        </patternFill>
      </fill>
    </dxf>
    <dxf>
      <fill>
        <patternFill patternType="darkDown">
          <fgColor theme="9" tint="-0.499984740745262"/>
          <bgColor auto="1"/>
        </patternFill>
      </fill>
    </dxf>
    <dxf>
      <fill>
        <patternFill>
          <bgColor theme="9" tint="-0.499984740745262"/>
        </patternFill>
      </fill>
    </dxf>
    <dxf>
      <fill>
        <patternFill patternType="gray125">
          <fgColor rgb="FFC00000"/>
        </patternFill>
      </fill>
    </dxf>
    <dxf>
      <fill>
        <patternFill patternType="darkDown">
          <fgColor theme="9" tint="-0.499984740745262"/>
          <bgColor auto="1"/>
        </patternFill>
      </fill>
    </dxf>
    <dxf>
      <fill>
        <patternFill patternType="darkDown">
          <fgColor theme="9" tint="-0.499984740745262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CFFCC"/>
      <color rgb="FFFFD1D1"/>
      <color rgb="FFFF4F4F"/>
      <color rgb="FFFF7D7D"/>
      <color rgb="FFFFCCCC"/>
      <color rgb="FFFF99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(Grades!$C$28,Grades!$G$28,Grades!$K$28,Grades!$O$28,Grades!$S$28,Grades!$W$28,Grades!$AA$28,Grades!$AE$28)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EE-4016-8190-871F5CD55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6038656"/>
        <c:axId val="596038000"/>
      </c:lineChart>
      <c:catAx>
        <c:axId val="596038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596038000"/>
        <c:crosses val="autoZero"/>
        <c:auto val="1"/>
        <c:lblAlgn val="ctr"/>
        <c:lblOffset val="100"/>
        <c:noMultiLvlLbl val="0"/>
      </c:catAx>
      <c:valAx>
        <c:axId val="596038000"/>
        <c:scaling>
          <c:orientation val="minMax"/>
        </c:scaling>
        <c:delete val="1"/>
        <c:axPos val="l"/>
        <c:numFmt formatCode="0.000" sourceLinked="1"/>
        <c:majorTickMark val="none"/>
        <c:minorTickMark val="none"/>
        <c:tickLblPos val="nextTo"/>
        <c:crossAx val="59603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(Grades!$C$31,Grades!$G$31,Grades!$K$31,Grades!$O$31,Grades!$S$31,Grades!$W$31,Grades!$AA$31,Grades!$AE$31)</c:f>
              <c:numCache>
                <c:formatCode>General</c:formatCode>
                <c:ptCount val="8"/>
                <c:pt idx="0" formatCode="0.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E0-4635-8AC6-A450128E6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6153552"/>
        <c:axId val="546150600"/>
      </c:lineChart>
      <c:catAx>
        <c:axId val="546153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546150600"/>
        <c:crosses val="autoZero"/>
        <c:auto val="1"/>
        <c:lblAlgn val="ctr"/>
        <c:lblOffset val="100"/>
        <c:noMultiLvlLbl val="0"/>
      </c:catAx>
      <c:valAx>
        <c:axId val="546150600"/>
        <c:scaling>
          <c:orientation val="minMax"/>
        </c:scaling>
        <c:delete val="1"/>
        <c:axPos val="l"/>
        <c:numFmt formatCode="0.000" sourceLinked="1"/>
        <c:majorTickMark val="none"/>
        <c:minorTickMark val="none"/>
        <c:tickLblPos val="nextTo"/>
        <c:crossAx val="54615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9E5-47B2-AAA4-81E9DBA2BAF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9E5-47B2-AAA4-81E9DBA2BA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9E5-47B2-AAA4-81E9DBA2BAF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9E5-47B2-AAA4-81E9DBA2BAF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9E5-47B2-AAA4-81E9DBA2BAF1}"/>
              </c:ext>
            </c:extLst>
          </c:dPt>
          <c:cat>
            <c:strRef>
              <c:f>Grades!$AK$13:$AK$17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Grades!$AM$14:$AM$18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4-45F2-A275-494D31EFEE84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9E5-47B2-AAA4-81E9DBA2BAF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9E5-47B2-AAA4-81E9DBA2BA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9E5-47B2-AAA4-81E9DBA2BAF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9E5-47B2-AAA4-81E9DBA2BAF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9E5-47B2-AAA4-81E9DBA2BAF1}"/>
              </c:ext>
            </c:extLst>
          </c:dPt>
          <c:cat>
            <c:strRef>
              <c:f>Grades!$AK$13:$AK$17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Grades!$AN$14:$AN$18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7D64-45F2-A275-494D31EFE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6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17858</xdr:colOff>
      <xdr:row>26</xdr:row>
      <xdr:rowOff>17859</xdr:rowOff>
    </xdr:from>
    <xdr:to>
      <xdr:col>34</xdr:col>
      <xdr:colOff>1238249</xdr:colOff>
      <xdr:row>27</xdr:row>
      <xdr:rowOff>190500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A5DC6E2-20B5-4F98-BFB5-CA8FB13183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23812</xdr:colOff>
      <xdr:row>29</xdr:row>
      <xdr:rowOff>14287</xdr:rowOff>
    </xdr:from>
    <xdr:to>
      <xdr:col>34</xdr:col>
      <xdr:colOff>1241107</xdr:colOff>
      <xdr:row>30</xdr:row>
      <xdr:rowOff>189166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E644398-804A-44FF-8551-7D5B95F60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23812</xdr:colOff>
      <xdr:row>11</xdr:row>
      <xdr:rowOff>11906</xdr:rowOff>
    </xdr:from>
    <xdr:to>
      <xdr:col>44</xdr:col>
      <xdr:colOff>7143</xdr:colOff>
      <xdr:row>18</xdr:row>
      <xdr:rowOff>11906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1054215-F1C0-4658-B56B-823E779D8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156882</xdr:colOff>
      <xdr:row>11</xdr:row>
      <xdr:rowOff>201705</xdr:rowOff>
    </xdr:from>
    <xdr:to>
      <xdr:col>22</xdr:col>
      <xdr:colOff>156882</xdr:colOff>
      <xdr:row>13</xdr:row>
      <xdr:rowOff>190499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125A0360-E129-4FBC-BD13-952EB19FECF2}"/>
            </a:ext>
          </a:extLst>
        </xdr:cNvPr>
        <xdr:cNvCxnSpPr/>
      </xdr:nvCxnSpPr>
      <xdr:spPr>
        <a:xfrm>
          <a:off x="6387353" y="2465293"/>
          <a:ext cx="0" cy="50426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156883</xdr:colOff>
      <xdr:row>11</xdr:row>
      <xdr:rowOff>190500</xdr:rowOff>
    </xdr:from>
    <xdr:to>
      <xdr:col>18</xdr:col>
      <xdr:colOff>179295</xdr:colOff>
      <xdr:row>13</xdr:row>
      <xdr:rowOff>145676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086F97C-0A0F-4705-9BBE-29D1F1C2C8C0}"/>
            </a:ext>
          </a:extLst>
        </xdr:cNvPr>
        <xdr:cNvCxnSpPr/>
      </xdr:nvCxnSpPr>
      <xdr:spPr>
        <a:xfrm>
          <a:off x="5546912" y="2454088"/>
          <a:ext cx="22412" cy="47064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pg13.github.io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271F9-2DCB-41BF-A7C2-7E79E7228FDA}">
  <dimension ref="B1:AO31"/>
  <sheetViews>
    <sheetView tabSelected="1" zoomScale="80" zoomScaleNormal="80" workbookViewId="0">
      <selection activeCell="C5" sqref="C5"/>
    </sheetView>
  </sheetViews>
  <sheetFormatPr defaultRowHeight="15" x14ac:dyDescent="0.25"/>
  <cols>
    <col min="1" max="1" width="4.7109375" style="37" customWidth="1"/>
    <col min="2" max="2" width="19.140625" style="37" bestFit="1" customWidth="1"/>
    <col min="3" max="3" width="12.28515625" style="37" bestFit="1" customWidth="1"/>
    <col min="4" max="4" width="2.42578125" style="37" bestFit="1" customWidth="1"/>
    <col min="5" max="5" width="5" style="37" hidden="1" customWidth="1"/>
    <col min="6" max="6" width="3" style="37" bestFit="1" customWidth="1"/>
    <col min="7" max="7" width="9.140625" style="37" customWidth="1"/>
    <col min="8" max="8" width="2.42578125" style="37" bestFit="1" customWidth="1"/>
    <col min="9" max="9" width="5" style="37" hidden="1" customWidth="1"/>
    <col min="10" max="10" width="3" style="37" bestFit="1" customWidth="1"/>
    <col min="11" max="11" width="9.7109375" style="37" bestFit="1" customWidth="1"/>
    <col min="12" max="12" width="2.42578125" style="37" bestFit="1" customWidth="1"/>
    <col min="13" max="13" width="5" style="37" hidden="1" customWidth="1"/>
    <col min="14" max="14" width="3" style="37" bestFit="1" customWidth="1"/>
    <col min="15" max="15" width="9.7109375" style="37" bestFit="1" customWidth="1"/>
    <col min="16" max="16" width="2.42578125" style="37" bestFit="1" customWidth="1"/>
    <col min="17" max="17" width="5" style="37" hidden="1" customWidth="1"/>
    <col min="18" max="18" width="3" style="37" bestFit="1" customWidth="1"/>
    <col min="19" max="19" width="9.140625" style="37"/>
    <col min="20" max="20" width="2.42578125" style="37" bestFit="1" customWidth="1"/>
    <col min="21" max="21" width="5" style="37" hidden="1" customWidth="1"/>
    <col min="22" max="22" width="3" style="37" bestFit="1" customWidth="1"/>
    <col min="23" max="23" width="9.140625" style="37"/>
    <col min="24" max="24" width="2.42578125" style="37" bestFit="1" customWidth="1"/>
    <col min="25" max="25" width="5" style="37" hidden="1" customWidth="1"/>
    <col min="26" max="26" width="3" style="37" bestFit="1" customWidth="1"/>
    <col min="27" max="27" width="9.140625" style="37"/>
    <col min="28" max="28" width="2" style="37" bestFit="1" customWidth="1"/>
    <col min="29" max="29" width="5" style="37" hidden="1" customWidth="1"/>
    <col min="30" max="30" width="3" style="37" bestFit="1" customWidth="1"/>
    <col min="31" max="31" width="9.140625" style="37"/>
    <col min="32" max="32" width="2" style="37" bestFit="1" customWidth="1"/>
    <col min="33" max="33" width="5" style="37" hidden="1" customWidth="1"/>
    <col min="34" max="34" width="3" style="37" bestFit="1" customWidth="1"/>
    <col min="35" max="35" width="18.85546875" style="37" bestFit="1" customWidth="1"/>
    <col min="36" max="36" width="2.7109375" style="37" bestFit="1" customWidth="1"/>
    <col min="37" max="37" width="2.7109375" style="37" hidden="1" customWidth="1"/>
    <col min="38" max="38" width="24.85546875" style="37" bestFit="1" customWidth="1"/>
    <col min="39" max="39" width="6.42578125" style="37" bestFit="1" customWidth="1"/>
    <col min="40" max="43" width="9.140625" style="37"/>
    <col min="44" max="44" width="4.7109375" style="37" customWidth="1"/>
    <col min="45" max="16384" width="9.140625" style="37"/>
  </cols>
  <sheetData>
    <row r="1" spans="2:41" ht="30.75" thickBot="1" x14ac:dyDescent="0.45">
      <c r="B1" s="104" t="s">
        <v>34</v>
      </c>
      <c r="C1" s="105" t="s">
        <v>25</v>
      </c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N1" s="106"/>
      <c r="AO1" s="106"/>
    </row>
    <row r="2" spans="2:41" ht="15.75" customHeight="1" thickBot="1" x14ac:dyDescent="0.3">
      <c r="B2" s="107"/>
      <c r="C2" s="108" t="s">
        <v>0</v>
      </c>
      <c r="D2" s="108"/>
      <c r="E2" s="108"/>
      <c r="F2" s="108"/>
      <c r="G2" s="108"/>
      <c r="H2" s="108"/>
      <c r="I2" s="108"/>
      <c r="J2" s="109"/>
      <c r="K2" s="110" t="s">
        <v>1</v>
      </c>
      <c r="L2" s="108"/>
      <c r="M2" s="108"/>
      <c r="N2" s="108"/>
      <c r="O2" s="108"/>
      <c r="P2" s="108"/>
      <c r="Q2" s="108"/>
      <c r="R2" s="109"/>
      <c r="S2" s="110" t="s">
        <v>2</v>
      </c>
      <c r="T2" s="108"/>
      <c r="U2" s="108"/>
      <c r="V2" s="108"/>
      <c r="W2" s="108"/>
      <c r="X2" s="108"/>
      <c r="Y2" s="108"/>
      <c r="Z2" s="109"/>
      <c r="AA2" s="110" t="s">
        <v>3</v>
      </c>
      <c r="AB2" s="108"/>
      <c r="AC2" s="108"/>
      <c r="AD2" s="108"/>
      <c r="AE2" s="108"/>
      <c r="AF2" s="108"/>
      <c r="AG2" s="108"/>
      <c r="AH2" s="109"/>
      <c r="AI2" s="111"/>
      <c r="AL2" s="112" t="s">
        <v>39</v>
      </c>
      <c r="AM2" s="113"/>
      <c r="AN2" s="114"/>
    </row>
    <row r="3" spans="2:41" ht="15.75" thickBot="1" x14ac:dyDescent="0.3">
      <c r="B3" s="115"/>
      <c r="C3" s="116" t="s">
        <v>7</v>
      </c>
      <c r="D3" s="116"/>
      <c r="E3" s="116"/>
      <c r="F3" s="117"/>
      <c r="G3" s="118" t="s">
        <v>8</v>
      </c>
      <c r="H3" s="116"/>
      <c r="I3" s="116"/>
      <c r="J3" s="117"/>
      <c r="K3" s="118" t="s">
        <v>9</v>
      </c>
      <c r="L3" s="116"/>
      <c r="M3" s="116"/>
      <c r="N3" s="116"/>
      <c r="O3" s="116" t="s">
        <v>10</v>
      </c>
      <c r="P3" s="116"/>
      <c r="Q3" s="116"/>
      <c r="R3" s="117"/>
      <c r="S3" s="118" t="s">
        <v>11</v>
      </c>
      <c r="T3" s="116"/>
      <c r="U3" s="116"/>
      <c r="V3" s="116"/>
      <c r="W3" s="116" t="s">
        <v>12</v>
      </c>
      <c r="X3" s="116"/>
      <c r="Y3" s="116"/>
      <c r="Z3" s="117"/>
      <c r="AA3" s="118" t="s">
        <v>13</v>
      </c>
      <c r="AB3" s="116"/>
      <c r="AC3" s="116"/>
      <c r="AD3" s="116"/>
      <c r="AE3" s="116" t="s">
        <v>14</v>
      </c>
      <c r="AF3" s="116"/>
      <c r="AG3" s="116"/>
      <c r="AH3" s="117"/>
      <c r="AI3" s="119"/>
      <c r="AL3" s="120" t="s">
        <v>33</v>
      </c>
      <c r="AM3" s="121"/>
      <c r="AN3" s="122"/>
    </row>
    <row r="4" spans="2:41" ht="15.75" thickBot="1" x14ac:dyDescent="0.3">
      <c r="B4" s="123" t="s">
        <v>27</v>
      </c>
      <c r="C4" s="124" t="s">
        <v>35</v>
      </c>
      <c r="D4" s="125" t="s">
        <v>29</v>
      </c>
      <c r="E4" s="126" t="s">
        <v>30</v>
      </c>
      <c r="F4" s="127" t="s">
        <v>28</v>
      </c>
      <c r="G4" s="124" t="s">
        <v>35</v>
      </c>
      <c r="H4" s="125" t="s">
        <v>29</v>
      </c>
      <c r="I4" s="126" t="s">
        <v>30</v>
      </c>
      <c r="J4" s="127" t="s">
        <v>28</v>
      </c>
      <c r="K4" s="124" t="s">
        <v>35</v>
      </c>
      <c r="L4" s="125" t="s">
        <v>29</v>
      </c>
      <c r="M4" s="126" t="s">
        <v>30</v>
      </c>
      <c r="N4" s="127" t="s">
        <v>28</v>
      </c>
      <c r="O4" s="124" t="s">
        <v>35</v>
      </c>
      <c r="P4" s="125" t="s">
        <v>29</v>
      </c>
      <c r="Q4" s="126" t="s">
        <v>30</v>
      </c>
      <c r="R4" s="127" t="s">
        <v>28</v>
      </c>
      <c r="S4" s="124" t="s">
        <v>35</v>
      </c>
      <c r="T4" s="125" t="s">
        <v>29</v>
      </c>
      <c r="U4" s="126" t="s">
        <v>30</v>
      </c>
      <c r="V4" s="127" t="s">
        <v>28</v>
      </c>
      <c r="W4" s="124" t="s">
        <v>35</v>
      </c>
      <c r="X4" s="125" t="s">
        <v>29</v>
      </c>
      <c r="Y4" s="126" t="s">
        <v>30</v>
      </c>
      <c r="Z4" s="127" t="s">
        <v>28</v>
      </c>
      <c r="AA4" s="124" t="s">
        <v>35</v>
      </c>
      <c r="AB4" s="125" t="s">
        <v>29</v>
      </c>
      <c r="AC4" s="126" t="s">
        <v>30</v>
      </c>
      <c r="AD4" s="127" t="s">
        <v>28</v>
      </c>
      <c r="AE4" s="124" t="s">
        <v>35</v>
      </c>
      <c r="AF4" s="125" t="s">
        <v>29</v>
      </c>
      <c r="AG4" s="126" t="s">
        <v>30</v>
      </c>
      <c r="AH4" s="127" t="s">
        <v>28</v>
      </c>
      <c r="AI4" s="128" t="s">
        <v>26</v>
      </c>
      <c r="AL4" s="86" t="s">
        <v>43</v>
      </c>
      <c r="AM4" s="129"/>
    </row>
    <row r="5" spans="2:41" ht="19.5" thickBot="1" x14ac:dyDescent="0.35">
      <c r="B5" s="30"/>
      <c r="C5" s="31"/>
      <c r="D5" s="103" t="str">
        <f t="shared" ref="D5:H11" si="0">IF(C5&lt;&gt;"",IF(C5&gt;=90,"A",IF(C5&gt;=80,"B",IF(C5&gt;=70,"C",IF(C5&gt;=60,"D","F")))),"")</f>
        <v/>
      </c>
      <c r="E5" s="83" t="str">
        <f>IF(C5&lt;&gt;"",IF(D5="A",F5,IF(D5="B",F5-1,IF(D5="C",F5-2,IF(D5="D",F5-3,IF(D5="F",0))))),"")</f>
        <v/>
      </c>
      <c r="F5" s="32"/>
      <c r="G5" s="31"/>
      <c r="H5" s="103" t="str">
        <f t="shared" ref="H5:AF10" si="1">IF(G5&lt;&gt;"",IF(G5&gt;=90,"A",IF(G5&gt;=80,"B",IF(G5&gt;=70,"C",IF(G5&gt;=60,"D","F")))),"")</f>
        <v/>
      </c>
      <c r="I5" s="83" t="str">
        <f>IF(G5&lt;&gt;"",IF(H5="A",J5,IF(H5="B",J5-1,IF(H5="C",J5-2,IF(H5="D",J5-3,IF(H5="F",0))))),"")</f>
        <v/>
      </c>
      <c r="J5" s="32"/>
      <c r="K5" s="31"/>
      <c r="L5" s="103" t="str">
        <f t="shared" si="1"/>
        <v/>
      </c>
      <c r="M5" s="83" t="str">
        <f>IF(K5&lt;&gt;"",IF(L5="A",N5,IF(L5="B",N5-1,IF(L5="C",N5-2,IF(L5="D",N5-3,IF(L5="F",0))))),"")</f>
        <v/>
      </c>
      <c r="N5" s="32"/>
      <c r="O5" s="31"/>
      <c r="P5" s="103" t="str">
        <f t="shared" si="1"/>
        <v/>
      </c>
      <c r="Q5" s="83" t="str">
        <f>IF(O5&lt;&gt;"",IF(P5="A",R5,IF(P5="B",R5-1,IF(P5="C",R5-2,IF(P5="D",R5-3,IF(P5="F",0))))),"")</f>
        <v/>
      </c>
      <c r="R5" s="32"/>
      <c r="S5" s="31"/>
      <c r="T5" s="103" t="str">
        <f t="shared" si="1"/>
        <v/>
      </c>
      <c r="U5" s="83" t="str">
        <f>IF(S5&lt;&gt;"",IF(T5="A",V5,IF(T5="B",V5-1,IF(T5="C",V5-2,IF(T5="D",V5-3,IF(T5="F",0))))),"")</f>
        <v/>
      </c>
      <c r="V5" s="32"/>
      <c r="W5" s="31"/>
      <c r="X5" s="103" t="str">
        <f t="shared" si="1"/>
        <v/>
      </c>
      <c r="Y5" s="83" t="str">
        <f>IF(W5&lt;&gt;"",IF(X5="A",Z5,IF(X5="B",Z5-1,IF(X5="C",Z5-2,IF(X5="D",Z5-3,IF(X5="F",0))))),"")</f>
        <v/>
      </c>
      <c r="Z5" s="32"/>
      <c r="AA5" s="31"/>
      <c r="AB5" s="103" t="str">
        <f t="shared" si="1"/>
        <v/>
      </c>
      <c r="AC5" s="83" t="str">
        <f>IF(AA5&lt;&gt;"",IF(AB5="A",AD5,IF(AB5="B",AD5-1,IF(AB5="C",AD5-2,IF(AB5="D",AD5-3,IF(AB5="F",0))))),"")</f>
        <v/>
      </c>
      <c r="AD5" s="32"/>
      <c r="AE5" s="31"/>
      <c r="AF5" s="103" t="str">
        <f t="shared" si="1"/>
        <v/>
      </c>
      <c r="AG5" s="83" t="str">
        <f>IF(AE5&lt;&gt;"",IF(AF5="A",AH5,IF(AF5="B",AH5-1,IF(AF5="C",AH5-2,IF(AF5="D",AH5-3,IF(AF5="F",0))))),"")</f>
        <v/>
      </c>
      <c r="AH5" s="32"/>
      <c r="AI5" s="85" t="e">
        <f>AVERAGE(C5,G5,K5,O5,S5,W5,AA5,AE5)</f>
        <v>#DIV/0!</v>
      </c>
      <c r="AL5" s="86" t="s">
        <v>41</v>
      </c>
      <c r="AM5" s="87"/>
    </row>
    <row r="6" spans="2:41" ht="20.25" thickTop="1" thickBot="1" x14ac:dyDescent="0.35">
      <c r="B6" s="33"/>
      <c r="C6" s="34"/>
      <c r="D6" s="103" t="str">
        <f t="shared" si="0"/>
        <v/>
      </c>
      <c r="E6" s="83" t="str">
        <f t="shared" ref="E6:E17" si="2">IF(C6&lt;&gt;"",IF(D6="A",F6,IF(D6="B",F6-1,IF(D6="C",F6-2,IF(D6="D",F6-3,IF(D6="F",0))))),"")</f>
        <v/>
      </c>
      <c r="F6" s="32"/>
      <c r="G6" s="34"/>
      <c r="H6" s="103" t="str">
        <f t="shared" si="1"/>
        <v/>
      </c>
      <c r="I6" s="83" t="str">
        <f t="shared" ref="I6:I17" si="3">IF(G6&lt;&gt;"",IF(H6="A",J6,IF(H6="B",J6-1,IF(H6="C",J6-2,IF(H6="D",J6-3,IF(H6="F",0))))),"")</f>
        <v/>
      </c>
      <c r="J6" s="32"/>
      <c r="K6" s="34"/>
      <c r="L6" s="103" t="str">
        <f t="shared" ref="L6" si="4">IF(K6&lt;&gt;"",IF(K6&gt;=90,"A",IF(K6&gt;=80,"B",IF(K6&gt;=70,"C",IF(K6&gt;=60,"D","F")))),"")</f>
        <v/>
      </c>
      <c r="M6" s="83" t="str">
        <f t="shared" ref="M6:M17" si="5">IF(K6&lt;&gt;"",IF(L6="A",N6,IF(L6="B",N6-1,IF(L6="C",N6-2,IF(L6="D",N6-3,IF(L6="F",0))))),"")</f>
        <v/>
      </c>
      <c r="N6" s="32"/>
      <c r="O6" s="34"/>
      <c r="P6" s="103" t="str">
        <f t="shared" ref="P6" si="6">IF(O6&lt;&gt;"",IF(O6&gt;=90,"A",IF(O6&gt;=80,"B",IF(O6&gt;=70,"C",IF(O6&gt;=60,"D","F")))),"")</f>
        <v/>
      </c>
      <c r="Q6" s="83" t="str">
        <f t="shared" ref="Q6:Q17" si="7">IF(O6&lt;&gt;"",IF(P6="A",R6,IF(P6="B",R6-1,IF(P6="C",R6-2,IF(P6="D",R6-3,IF(P6="F",0))))),"")</f>
        <v/>
      </c>
      <c r="R6" s="32"/>
      <c r="S6" s="34"/>
      <c r="T6" s="103" t="str">
        <f t="shared" ref="T6" si="8">IF(S6&lt;&gt;"",IF(S6&gt;=90,"A",IF(S6&gt;=80,"B",IF(S6&gt;=70,"C",IF(S6&gt;=60,"D","F")))),"")</f>
        <v/>
      </c>
      <c r="U6" s="83" t="str">
        <f t="shared" ref="U6:U17" si="9">IF(S6&lt;&gt;"",IF(T6="A",V6,IF(T6="B",V6-1,IF(T6="C",V6-2,IF(T6="D",V6-3,IF(T6="F",0))))),"")</f>
        <v/>
      </c>
      <c r="V6" s="32"/>
      <c r="W6" s="34"/>
      <c r="X6" s="103" t="str">
        <f t="shared" ref="X6" si="10">IF(W6&lt;&gt;"",IF(W6&gt;=90,"A",IF(W6&gt;=80,"B",IF(W6&gt;=70,"C",IF(W6&gt;=60,"D","F")))),"")</f>
        <v/>
      </c>
      <c r="Y6" s="83" t="str">
        <f t="shared" ref="Y6:Y17" si="11">IF(W6&lt;&gt;"",IF(X6="A",Z6,IF(X6="B",Z6-1,IF(X6="C",Z6-2,IF(X6="D",Z6-3,IF(X6="F",0))))),"")</f>
        <v/>
      </c>
      <c r="Z6" s="32"/>
      <c r="AA6" s="34"/>
      <c r="AB6" s="103" t="str">
        <f t="shared" ref="AB6" si="12">IF(AA6&lt;&gt;"",IF(AA6&gt;=90,"A",IF(AA6&gt;=80,"B",IF(AA6&gt;=70,"C",IF(AA6&gt;=60,"D","F")))),"")</f>
        <v/>
      </c>
      <c r="AC6" s="83" t="str">
        <f t="shared" ref="AC6:AC17" si="13">IF(AA6&lt;&gt;"",IF(AB6="A",AD6,IF(AB6="B",AD6-1,IF(AB6="C",AD6-2,IF(AB6="D",AD6-3,IF(AB6="F",0))))),"")</f>
        <v/>
      </c>
      <c r="AD6" s="32"/>
      <c r="AE6" s="34"/>
      <c r="AF6" s="103" t="str">
        <f t="shared" ref="AF6" si="14">IF(AE6&lt;&gt;"",IF(AE6&gt;=90,"A",IF(AE6&gt;=80,"B",IF(AE6&gt;=70,"C",IF(AE6&gt;=60,"D","F")))),"")</f>
        <v/>
      </c>
      <c r="AG6" s="83" t="str">
        <f t="shared" ref="AG6:AG17" si="15">IF(AE6&lt;&gt;"",IF(AF6="A",AH6,IF(AF6="B",AH6-1,IF(AF6="C",AH6-2,IF(AF6="D",AH6-3,IF(AF6="F",0))))),"")</f>
        <v/>
      </c>
      <c r="AH6" s="32"/>
      <c r="AI6" s="88" t="e">
        <f>AVERAGE(C6,G6,K6,O6,S6,W6,AA6,AE6)</f>
        <v>#DIV/0!</v>
      </c>
      <c r="AL6" s="55" t="s">
        <v>42</v>
      </c>
      <c r="AM6" s="89"/>
    </row>
    <row r="7" spans="2:41" ht="20.25" thickTop="1" thickBot="1" x14ac:dyDescent="0.35">
      <c r="B7" s="30"/>
      <c r="C7" s="31"/>
      <c r="D7" s="103" t="str">
        <f t="shared" si="0"/>
        <v/>
      </c>
      <c r="E7" s="83" t="str">
        <f t="shared" si="2"/>
        <v/>
      </c>
      <c r="F7" s="32"/>
      <c r="G7" s="31"/>
      <c r="H7" s="103" t="str">
        <f t="shared" si="1"/>
        <v/>
      </c>
      <c r="I7" s="83" t="str">
        <f t="shared" si="3"/>
        <v/>
      </c>
      <c r="J7" s="32"/>
      <c r="K7" s="31"/>
      <c r="L7" s="103" t="str">
        <f t="shared" ref="L7" si="16">IF(K7&lt;&gt;"",IF(K7&gt;=90,"A",IF(K7&gt;=80,"B",IF(K7&gt;=70,"C",IF(K7&gt;=60,"D","F")))),"")</f>
        <v/>
      </c>
      <c r="M7" s="83" t="str">
        <f t="shared" si="5"/>
        <v/>
      </c>
      <c r="N7" s="32"/>
      <c r="O7" s="31"/>
      <c r="P7" s="103" t="str">
        <f t="shared" ref="P7" si="17">IF(O7&lt;&gt;"",IF(O7&gt;=90,"A",IF(O7&gt;=80,"B",IF(O7&gt;=70,"C",IF(O7&gt;=60,"D","F")))),"")</f>
        <v/>
      </c>
      <c r="Q7" s="83" t="str">
        <f t="shared" si="7"/>
        <v/>
      </c>
      <c r="R7" s="32"/>
      <c r="S7" s="31"/>
      <c r="T7" s="103" t="str">
        <f t="shared" ref="T7" si="18">IF(S7&lt;&gt;"",IF(S7&gt;=90,"A",IF(S7&gt;=80,"B",IF(S7&gt;=70,"C",IF(S7&gt;=60,"D","F")))),"")</f>
        <v/>
      </c>
      <c r="U7" s="83" t="str">
        <f t="shared" si="9"/>
        <v/>
      </c>
      <c r="V7" s="32"/>
      <c r="W7" s="31"/>
      <c r="X7" s="103" t="str">
        <f t="shared" ref="X7" si="19">IF(W7&lt;&gt;"",IF(W7&gt;=90,"A",IF(W7&gt;=80,"B",IF(W7&gt;=70,"C",IF(W7&gt;=60,"D","F")))),"")</f>
        <v/>
      </c>
      <c r="Y7" s="83" t="str">
        <f t="shared" si="11"/>
        <v/>
      </c>
      <c r="Z7" s="32"/>
      <c r="AA7" s="31"/>
      <c r="AB7" s="103" t="str">
        <f t="shared" ref="AB7" si="20">IF(AA7&lt;&gt;"",IF(AA7&gt;=90,"A",IF(AA7&gt;=80,"B",IF(AA7&gt;=70,"C",IF(AA7&gt;=60,"D","F")))),"")</f>
        <v/>
      </c>
      <c r="AC7" s="83" t="str">
        <f t="shared" si="13"/>
        <v/>
      </c>
      <c r="AD7" s="32"/>
      <c r="AE7" s="31"/>
      <c r="AF7" s="103" t="str">
        <f t="shared" ref="AF7" si="21">IF(AE7&lt;&gt;"",IF(AE7&gt;=90,"A",IF(AE7&gt;=80,"B",IF(AE7&gt;=70,"C",IF(AE7&gt;=60,"D","F")))),"")</f>
        <v/>
      </c>
      <c r="AG7" s="83" t="str">
        <f t="shared" si="15"/>
        <v/>
      </c>
      <c r="AH7" s="32"/>
      <c r="AI7" s="88" t="e">
        <f t="shared" ref="AI7:AI15" si="22">AVERAGE(C7,G7,K7,O7,S7,W7,AA7,AE7)</f>
        <v>#DIV/0!</v>
      </c>
    </row>
    <row r="8" spans="2:41" ht="20.25" thickTop="1" thickBot="1" x14ac:dyDescent="0.35">
      <c r="B8" s="33"/>
      <c r="C8" s="34"/>
      <c r="D8" s="103" t="str">
        <f t="shared" si="0"/>
        <v/>
      </c>
      <c r="E8" s="83" t="str">
        <f t="shared" si="2"/>
        <v/>
      </c>
      <c r="F8" s="32"/>
      <c r="G8" s="34"/>
      <c r="H8" s="103" t="str">
        <f t="shared" si="1"/>
        <v/>
      </c>
      <c r="I8" s="83" t="str">
        <f t="shared" si="3"/>
        <v/>
      </c>
      <c r="J8" s="32"/>
      <c r="K8" s="34"/>
      <c r="L8" s="103" t="str">
        <f t="shared" ref="L8" si="23">IF(K8&lt;&gt;"",IF(K8&gt;=90,"A",IF(K8&gt;=80,"B",IF(K8&gt;=70,"C",IF(K8&gt;=60,"D","F")))),"")</f>
        <v/>
      </c>
      <c r="M8" s="83" t="str">
        <f t="shared" si="5"/>
        <v/>
      </c>
      <c r="N8" s="32"/>
      <c r="O8" s="34"/>
      <c r="P8" s="103" t="str">
        <f t="shared" ref="P8" si="24">IF(O8&lt;&gt;"",IF(O8&gt;=90,"A",IF(O8&gt;=80,"B",IF(O8&gt;=70,"C",IF(O8&gt;=60,"D","F")))),"")</f>
        <v/>
      </c>
      <c r="Q8" s="83" t="str">
        <f t="shared" si="7"/>
        <v/>
      </c>
      <c r="R8" s="32"/>
      <c r="S8" s="34"/>
      <c r="T8" s="103" t="str">
        <f t="shared" ref="T8" si="25">IF(S8&lt;&gt;"",IF(S8&gt;=90,"A",IF(S8&gt;=80,"B",IF(S8&gt;=70,"C",IF(S8&gt;=60,"D","F")))),"")</f>
        <v/>
      </c>
      <c r="U8" s="83" t="str">
        <f t="shared" si="9"/>
        <v/>
      </c>
      <c r="V8" s="32"/>
      <c r="W8" s="34"/>
      <c r="X8" s="103" t="str">
        <f t="shared" ref="X8" si="26">IF(W8&lt;&gt;"",IF(W8&gt;=90,"A",IF(W8&gt;=80,"B",IF(W8&gt;=70,"C",IF(W8&gt;=60,"D","F")))),"")</f>
        <v/>
      </c>
      <c r="Y8" s="83" t="str">
        <f t="shared" si="11"/>
        <v/>
      </c>
      <c r="Z8" s="32"/>
      <c r="AA8" s="34"/>
      <c r="AB8" s="103" t="str">
        <f t="shared" ref="AB8" si="27">IF(AA8&lt;&gt;"",IF(AA8&gt;=90,"A",IF(AA8&gt;=80,"B",IF(AA8&gt;=70,"C",IF(AA8&gt;=60,"D","F")))),"")</f>
        <v/>
      </c>
      <c r="AC8" s="83" t="str">
        <f t="shared" si="13"/>
        <v/>
      </c>
      <c r="AD8" s="32"/>
      <c r="AE8" s="34"/>
      <c r="AF8" s="103" t="str">
        <f t="shared" ref="AF8" si="28">IF(AE8&lt;&gt;"",IF(AE8&gt;=90,"A",IF(AE8&gt;=80,"B",IF(AE8&gt;=70,"C",IF(AE8&gt;=60,"D","F")))),"")</f>
        <v/>
      </c>
      <c r="AG8" s="83" t="str">
        <f t="shared" si="15"/>
        <v/>
      </c>
      <c r="AH8" s="32"/>
      <c r="AI8" s="88" t="e">
        <f t="shared" si="22"/>
        <v>#DIV/0!</v>
      </c>
      <c r="AL8" s="90" t="s">
        <v>40</v>
      </c>
      <c r="AM8" s="91"/>
      <c r="AN8" s="91"/>
      <c r="AO8" s="92"/>
    </row>
    <row r="9" spans="2:41" ht="20.25" thickTop="1" thickBot="1" x14ac:dyDescent="0.35">
      <c r="B9" s="30"/>
      <c r="C9" s="31"/>
      <c r="D9" s="103" t="str">
        <f t="shared" si="0"/>
        <v/>
      </c>
      <c r="E9" s="83" t="str">
        <f t="shared" si="2"/>
        <v/>
      </c>
      <c r="F9" s="32"/>
      <c r="G9" s="31"/>
      <c r="H9" s="103" t="str">
        <f t="shared" si="1"/>
        <v/>
      </c>
      <c r="I9" s="83" t="str">
        <f t="shared" si="3"/>
        <v/>
      </c>
      <c r="J9" s="32"/>
      <c r="K9" s="31"/>
      <c r="L9" s="103" t="str">
        <f t="shared" ref="L9" si="29">IF(K9&lt;&gt;"",IF(K9&gt;=90,"A",IF(K9&gt;=80,"B",IF(K9&gt;=70,"C",IF(K9&gt;=60,"D","F")))),"")</f>
        <v/>
      </c>
      <c r="M9" s="83" t="str">
        <f t="shared" si="5"/>
        <v/>
      </c>
      <c r="N9" s="32"/>
      <c r="O9" s="31"/>
      <c r="P9" s="103" t="str">
        <f t="shared" ref="P9" si="30">IF(O9&lt;&gt;"",IF(O9&gt;=90,"A",IF(O9&gt;=80,"B",IF(O9&gt;=70,"C",IF(O9&gt;=60,"D","F")))),"")</f>
        <v/>
      </c>
      <c r="Q9" s="83" t="str">
        <f t="shared" si="7"/>
        <v/>
      </c>
      <c r="R9" s="32"/>
      <c r="S9" s="31"/>
      <c r="T9" s="103" t="str">
        <f t="shared" ref="T9" si="31">IF(S9&lt;&gt;"",IF(S9&gt;=90,"A",IF(S9&gt;=80,"B",IF(S9&gt;=70,"C",IF(S9&gt;=60,"D","F")))),"")</f>
        <v/>
      </c>
      <c r="U9" s="83" t="str">
        <f t="shared" si="9"/>
        <v/>
      </c>
      <c r="V9" s="32"/>
      <c r="W9" s="31"/>
      <c r="X9" s="103" t="str">
        <f t="shared" ref="X9" si="32">IF(W9&lt;&gt;"",IF(W9&gt;=90,"A",IF(W9&gt;=80,"B",IF(W9&gt;=70,"C",IF(W9&gt;=60,"D","F")))),"")</f>
        <v/>
      </c>
      <c r="Y9" s="83" t="str">
        <f t="shared" si="11"/>
        <v/>
      </c>
      <c r="Z9" s="32"/>
      <c r="AA9" s="31"/>
      <c r="AB9" s="103" t="str">
        <f t="shared" ref="AB9" si="33">IF(AA9&lt;&gt;"",IF(AA9&gt;=90,"A",IF(AA9&gt;=80,"B",IF(AA9&gt;=70,"C",IF(AA9&gt;=60,"D","F")))),"")</f>
        <v/>
      </c>
      <c r="AC9" s="83" t="str">
        <f t="shared" si="13"/>
        <v/>
      </c>
      <c r="AD9" s="32"/>
      <c r="AE9" s="31"/>
      <c r="AF9" s="103" t="str">
        <f t="shared" ref="AF9" si="34">IF(AE9&lt;&gt;"",IF(AE9&gt;=90,"A",IF(AE9&gt;=80,"B",IF(AE9&gt;=70,"C",IF(AE9&gt;=60,"D","F")))),"")</f>
        <v/>
      </c>
      <c r="AG9" s="83" t="str">
        <f t="shared" si="15"/>
        <v/>
      </c>
      <c r="AH9" s="32"/>
      <c r="AI9" s="88" t="e">
        <f t="shared" si="22"/>
        <v>#DIV/0!</v>
      </c>
      <c r="AL9" s="93"/>
      <c r="AM9" s="94"/>
      <c r="AN9" s="94"/>
      <c r="AO9" s="95"/>
    </row>
    <row r="10" spans="2:41" ht="20.25" thickTop="1" thickBot="1" x14ac:dyDescent="0.35">
      <c r="B10" s="33"/>
      <c r="C10" s="34"/>
      <c r="D10" s="103" t="str">
        <f t="shared" si="0"/>
        <v/>
      </c>
      <c r="E10" s="83" t="str">
        <f t="shared" si="2"/>
        <v/>
      </c>
      <c r="F10" s="32"/>
      <c r="G10" s="34"/>
      <c r="H10" s="103" t="str">
        <f t="shared" si="1"/>
        <v/>
      </c>
      <c r="I10" s="83" t="str">
        <f t="shared" si="3"/>
        <v/>
      </c>
      <c r="J10" s="32"/>
      <c r="K10" s="34"/>
      <c r="L10" s="103" t="str">
        <f t="shared" ref="L10" si="35">IF(K10&lt;&gt;"",IF(K10&gt;=90,"A",IF(K10&gt;=80,"B",IF(K10&gt;=70,"C",IF(K10&gt;=60,"D","F")))),"")</f>
        <v/>
      </c>
      <c r="M10" s="83" t="str">
        <f t="shared" si="5"/>
        <v/>
      </c>
      <c r="N10" s="32"/>
      <c r="O10" s="34"/>
      <c r="P10" s="103" t="str">
        <f t="shared" ref="P10" si="36">IF(O10&lt;&gt;"",IF(O10&gt;=90,"A",IF(O10&gt;=80,"B",IF(O10&gt;=70,"C",IF(O10&gt;=60,"D","F")))),"")</f>
        <v/>
      </c>
      <c r="Q10" s="83" t="str">
        <f t="shared" si="7"/>
        <v/>
      </c>
      <c r="R10" s="32"/>
      <c r="S10" s="34"/>
      <c r="T10" s="103" t="str">
        <f t="shared" ref="T10" si="37">IF(S10&lt;&gt;"",IF(S10&gt;=90,"A",IF(S10&gt;=80,"B",IF(S10&gt;=70,"C",IF(S10&gt;=60,"D","F")))),"")</f>
        <v/>
      </c>
      <c r="U10" s="83" t="str">
        <f t="shared" si="9"/>
        <v/>
      </c>
      <c r="V10" s="32"/>
      <c r="W10" s="34"/>
      <c r="X10" s="103" t="str">
        <f t="shared" ref="X10" si="38">IF(W10&lt;&gt;"",IF(W10&gt;=90,"A",IF(W10&gt;=80,"B",IF(W10&gt;=70,"C",IF(W10&gt;=60,"D","F")))),"")</f>
        <v/>
      </c>
      <c r="Y10" s="83" t="str">
        <f t="shared" si="11"/>
        <v/>
      </c>
      <c r="Z10" s="32"/>
      <c r="AA10" s="34"/>
      <c r="AB10" s="103" t="str">
        <f t="shared" ref="AB10" si="39">IF(AA10&lt;&gt;"",IF(AA10&gt;=90,"A",IF(AA10&gt;=80,"B",IF(AA10&gt;=70,"C",IF(AA10&gt;=60,"D","F")))),"")</f>
        <v/>
      </c>
      <c r="AC10" s="83" t="str">
        <f t="shared" si="13"/>
        <v/>
      </c>
      <c r="AD10" s="32"/>
      <c r="AE10" s="34"/>
      <c r="AF10" s="103" t="str">
        <f t="shared" ref="AF10" si="40">IF(AE10&lt;&gt;"",IF(AE10&gt;=90,"A",IF(AE10&gt;=80,"B",IF(AE10&gt;=70,"C",IF(AE10&gt;=60,"D","F")))),"")</f>
        <v/>
      </c>
      <c r="AG10" s="83" t="str">
        <f t="shared" si="15"/>
        <v/>
      </c>
      <c r="AH10" s="32"/>
      <c r="AI10" s="88" t="e">
        <f t="shared" si="22"/>
        <v>#DIV/0!</v>
      </c>
      <c r="AJ10" s="38"/>
      <c r="AK10" s="38"/>
    </row>
    <row r="11" spans="2:41" ht="20.25" thickTop="1" thickBot="1" x14ac:dyDescent="0.35">
      <c r="B11" s="30"/>
      <c r="C11" s="31"/>
      <c r="D11" s="103" t="str">
        <f t="shared" si="0"/>
        <v/>
      </c>
      <c r="E11" s="83" t="str">
        <f t="shared" si="2"/>
        <v/>
      </c>
      <c r="F11" s="32"/>
      <c r="G11" s="31"/>
      <c r="H11" s="103" t="str">
        <f t="shared" si="0"/>
        <v/>
      </c>
      <c r="I11" s="83" t="str">
        <f t="shared" si="3"/>
        <v/>
      </c>
      <c r="J11" s="32"/>
      <c r="K11" s="31"/>
      <c r="L11" s="103" t="str">
        <f t="shared" ref="L11" si="41">IF(K11&lt;&gt;"",IF(K11&gt;=90,"A",IF(K11&gt;=80,"B",IF(K11&gt;=70,"C",IF(K11&gt;=60,"D","F")))),"")</f>
        <v/>
      </c>
      <c r="M11" s="83" t="str">
        <f t="shared" si="5"/>
        <v/>
      </c>
      <c r="N11" s="32"/>
      <c r="O11" s="31"/>
      <c r="P11" s="103" t="str">
        <f t="shared" ref="P11" si="42">IF(O11&lt;&gt;"",IF(O11&gt;=90,"A",IF(O11&gt;=80,"B",IF(O11&gt;=70,"C",IF(O11&gt;=60,"D","F")))),"")</f>
        <v/>
      </c>
      <c r="Q11" s="83" t="str">
        <f t="shared" si="7"/>
        <v/>
      </c>
      <c r="R11" s="32"/>
      <c r="S11" s="31"/>
      <c r="T11" s="103" t="str">
        <f t="shared" ref="T11" si="43">IF(S11&lt;&gt;"",IF(S11&gt;=90,"A",IF(S11&gt;=80,"B",IF(S11&gt;=70,"C",IF(S11&gt;=60,"D","F")))),"")</f>
        <v/>
      </c>
      <c r="U11" s="83" t="str">
        <f t="shared" si="9"/>
        <v/>
      </c>
      <c r="V11" s="32"/>
      <c r="W11" s="31"/>
      <c r="X11" s="103" t="str">
        <f t="shared" ref="X11" si="44">IF(W11&lt;&gt;"",IF(W11&gt;=90,"A",IF(W11&gt;=80,"B",IF(W11&gt;=70,"C",IF(W11&gt;=60,"D","F")))),"")</f>
        <v/>
      </c>
      <c r="Y11" s="83" t="str">
        <f t="shared" si="11"/>
        <v/>
      </c>
      <c r="Z11" s="32"/>
      <c r="AA11" s="31"/>
      <c r="AB11" s="103" t="str">
        <f t="shared" ref="AB11" si="45">IF(AA11&lt;&gt;"",IF(AA11&gt;=90,"A",IF(AA11&gt;=80,"B",IF(AA11&gt;=70,"C",IF(AA11&gt;=60,"D","F")))),"")</f>
        <v/>
      </c>
      <c r="AC11" s="83" t="str">
        <f t="shared" si="13"/>
        <v/>
      </c>
      <c r="AD11" s="32"/>
      <c r="AE11" s="31"/>
      <c r="AF11" s="103" t="str">
        <f t="shared" ref="AF11" si="46">IF(AE11&lt;&gt;"",IF(AE11&gt;=90,"A",IF(AE11&gt;=80,"B",IF(AE11&gt;=70,"C",IF(AE11&gt;=60,"D","F")))),"")</f>
        <v/>
      </c>
      <c r="AG11" s="83" t="str">
        <f t="shared" si="15"/>
        <v/>
      </c>
      <c r="AH11" s="32"/>
      <c r="AI11" s="88" t="e">
        <f t="shared" si="22"/>
        <v>#DIV/0!</v>
      </c>
      <c r="AJ11" s="38"/>
      <c r="AL11" s="38"/>
    </row>
    <row r="12" spans="2:41" ht="20.25" thickTop="1" thickBot="1" x14ac:dyDescent="0.35">
      <c r="B12" s="33"/>
      <c r="C12" s="34"/>
      <c r="D12" s="103" t="str">
        <f>IF(C12&lt;&gt;"",IF(C12&gt;=90,"A",IF(C12&gt;=80,"B",IF(C12&gt;=70,"C",IF(C12&gt;=60,"D","F")))),"")</f>
        <v/>
      </c>
      <c r="E12" s="83" t="str">
        <f t="shared" si="2"/>
        <v/>
      </c>
      <c r="F12" s="32"/>
      <c r="G12" s="34"/>
      <c r="H12" s="103" t="str">
        <f t="shared" ref="H12" si="47">IF(G12&lt;&gt;"",IF(G12&gt;=90,"A",IF(G12&gt;=80,"B",IF(G12&gt;=70,"C",IF(G12&gt;=60,"D","F")))),"")</f>
        <v/>
      </c>
      <c r="I12" s="83" t="str">
        <f t="shared" si="3"/>
        <v/>
      </c>
      <c r="J12" s="32"/>
      <c r="K12" s="34"/>
      <c r="L12" s="103" t="str">
        <f t="shared" ref="L12" si="48">IF(K12&lt;&gt;"",IF(K12&gt;=90,"A",IF(K12&gt;=80,"B",IF(K12&gt;=70,"C",IF(K12&gt;=60,"D","F")))),"")</f>
        <v/>
      </c>
      <c r="M12" s="83" t="str">
        <f t="shared" si="5"/>
        <v/>
      </c>
      <c r="N12" s="32"/>
      <c r="O12" s="34"/>
      <c r="P12" s="103" t="str">
        <f t="shared" ref="P12" si="49">IF(O12&lt;&gt;"",IF(O12&gt;=90,"A",IF(O12&gt;=80,"B",IF(O12&gt;=70,"C",IF(O12&gt;=60,"D","F")))),"")</f>
        <v/>
      </c>
      <c r="Q12" s="83" t="str">
        <f t="shared" si="7"/>
        <v/>
      </c>
      <c r="R12" s="32"/>
      <c r="S12" s="34"/>
      <c r="T12" s="103" t="str">
        <f t="shared" ref="T12" si="50">IF(S12&lt;&gt;"",IF(S12&gt;=90,"A",IF(S12&gt;=80,"B",IF(S12&gt;=70,"C",IF(S12&gt;=60,"D","F")))),"")</f>
        <v/>
      </c>
      <c r="U12" s="83" t="str">
        <f t="shared" si="9"/>
        <v/>
      </c>
      <c r="V12" s="32"/>
      <c r="W12" s="34"/>
      <c r="X12" s="103" t="str">
        <f t="shared" ref="X12" si="51">IF(W12&lt;&gt;"",IF(W12&gt;=90,"A",IF(W12&gt;=80,"B",IF(W12&gt;=70,"C",IF(W12&gt;=60,"D","F")))),"")</f>
        <v/>
      </c>
      <c r="Y12" s="83" t="str">
        <f t="shared" si="11"/>
        <v/>
      </c>
      <c r="Z12" s="32"/>
      <c r="AA12" s="34"/>
      <c r="AB12" s="103" t="str">
        <f t="shared" ref="AB12" si="52">IF(AA12&lt;&gt;"",IF(AA12&gt;=90,"A",IF(AA12&gt;=80,"B",IF(AA12&gt;=70,"C",IF(AA12&gt;=60,"D","F")))),"")</f>
        <v/>
      </c>
      <c r="AC12" s="83" t="str">
        <f t="shared" si="13"/>
        <v/>
      </c>
      <c r="AD12" s="32"/>
      <c r="AE12" s="34"/>
      <c r="AF12" s="103" t="str">
        <f t="shared" ref="AF12" si="53">IF(AE12&lt;&gt;"",IF(AE12&gt;=90,"A",IF(AE12&gt;=80,"B",IF(AE12&gt;=70,"C",IF(AE12&gt;=60,"D","F")))),"")</f>
        <v/>
      </c>
      <c r="AG12" s="83" t="str">
        <f t="shared" si="15"/>
        <v/>
      </c>
      <c r="AH12" s="32"/>
      <c r="AI12" s="88" t="e">
        <f t="shared" si="22"/>
        <v>#DIV/0!</v>
      </c>
      <c r="AJ12" s="38"/>
      <c r="AL12" s="96" t="str">
        <f>CONCATENATE(SUM(C20:AE20)," Credits Total")</f>
        <v>0 Credits Total</v>
      </c>
      <c r="AM12" s="97" t="e">
        <f>(SUM(C20:AE20))/(SUM(C21:AE21))</f>
        <v>#DIV/0!</v>
      </c>
      <c r="AN12" s="98"/>
    </row>
    <row r="13" spans="2:41" ht="20.25" thickTop="1" thickBot="1" x14ac:dyDescent="0.35">
      <c r="B13" s="30"/>
      <c r="C13" s="31"/>
      <c r="D13" s="103" t="str">
        <f t="shared" ref="D13:D17" si="54">IF(C13&lt;&gt;"",IF(C13&gt;=90,"A",IF(C13&gt;=80,"B",IF(C13&gt;=70,"C",IF(C13&gt;=60,"D","F")))),"")</f>
        <v/>
      </c>
      <c r="E13" s="83" t="str">
        <f t="shared" si="2"/>
        <v/>
      </c>
      <c r="F13" s="32"/>
      <c r="G13" s="31"/>
      <c r="H13" s="103" t="str">
        <f t="shared" ref="H13" si="55">IF(G13&lt;&gt;"",IF(G13&gt;=90,"A",IF(G13&gt;=80,"B",IF(G13&gt;=70,"C",IF(G13&gt;=60,"D","F")))),"")</f>
        <v/>
      </c>
      <c r="I13" s="83" t="str">
        <f t="shared" si="3"/>
        <v/>
      </c>
      <c r="J13" s="32"/>
      <c r="K13" s="31"/>
      <c r="L13" s="103" t="str">
        <f t="shared" ref="L13" si="56">IF(K13&lt;&gt;"",IF(K13&gt;=90,"A",IF(K13&gt;=80,"B",IF(K13&gt;=70,"C",IF(K13&gt;=60,"D","F")))),"")</f>
        <v/>
      </c>
      <c r="M13" s="83" t="str">
        <f t="shared" si="5"/>
        <v/>
      </c>
      <c r="N13" s="32"/>
      <c r="O13" s="31"/>
      <c r="P13" s="103" t="str">
        <f t="shared" ref="P13" si="57">IF(O13&lt;&gt;"",IF(O13&gt;=90,"A",IF(O13&gt;=80,"B",IF(O13&gt;=70,"C",IF(O13&gt;=60,"D","F")))),"")</f>
        <v/>
      </c>
      <c r="Q13" s="83" t="str">
        <f t="shared" si="7"/>
        <v/>
      </c>
      <c r="R13" s="32"/>
      <c r="S13" s="31"/>
      <c r="T13" s="103" t="str">
        <f t="shared" ref="T13" si="58">IF(S13&lt;&gt;"",IF(S13&gt;=90,"A",IF(S13&gt;=80,"B",IF(S13&gt;=70,"C",IF(S13&gt;=60,"D","F")))),"")</f>
        <v/>
      </c>
      <c r="U13" s="83" t="str">
        <f t="shared" si="9"/>
        <v/>
      </c>
      <c r="V13" s="32"/>
      <c r="W13" s="31"/>
      <c r="X13" s="103" t="str">
        <f t="shared" ref="X13" si="59">IF(W13&lt;&gt;"",IF(W13&gt;=90,"A",IF(W13&gt;=80,"B",IF(W13&gt;=70,"C",IF(W13&gt;=60,"D","F")))),"")</f>
        <v/>
      </c>
      <c r="Y13" s="83" t="str">
        <f t="shared" si="11"/>
        <v/>
      </c>
      <c r="Z13" s="32"/>
      <c r="AA13" s="31"/>
      <c r="AB13" s="103" t="str">
        <f t="shared" ref="AB13" si="60">IF(AA13&lt;&gt;"",IF(AA13&gt;=90,"A",IF(AA13&gt;=80,"B",IF(AA13&gt;=70,"C",IF(AA13&gt;=60,"D","F")))),"")</f>
        <v/>
      </c>
      <c r="AC13" s="83" t="str">
        <f t="shared" si="13"/>
        <v/>
      </c>
      <c r="AD13" s="32"/>
      <c r="AE13" s="31"/>
      <c r="AF13" s="103" t="str">
        <f t="shared" ref="AF13" si="61">IF(AE13&lt;&gt;"",IF(AE13&gt;=90,"A",IF(AE13&gt;=80,"B",IF(AE13&gt;=70,"C",IF(AE13&gt;=60,"D","F")))),"")</f>
        <v/>
      </c>
      <c r="AG13" s="83" t="str">
        <f t="shared" si="15"/>
        <v/>
      </c>
      <c r="AH13" s="32"/>
      <c r="AI13" s="88" t="e">
        <f t="shared" si="22"/>
        <v>#DIV/0!</v>
      </c>
      <c r="AJ13" s="38"/>
      <c r="AK13" s="37" t="s">
        <v>16</v>
      </c>
      <c r="AL13" s="99" t="str">
        <f>CONCATENATE(SUM(C20:AE20)," Attempted")</f>
        <v>0 Attempted</v>
      </c>
      <c r="AM13" s="100" t="e">
        <f>(SUM(C21:AE21))/(SUM(C19:AE19))</f>
        <v>#DIV/0!</v>
      </c>
      <c r="AN13" s="101"/>
    </row>
    <row r="14" spans="2:41" ht="20.25" thickTop="1" thickBot="1" x14ac:dyDescent="0.35">
      <c r="B14" s="33"/>
      <c r="C14" s="34"/>
      <c r="D14" s="103" t="str">
        <f t="shared" si="54"/>
        <v/>
      </c>
      <c r="E14" s="83" t="str">
        <f t="shared" si="2"/>
        <v/>
      </c>
      <c r="F14" s="32"/>
      <c r="G14" s="34"/>
      <c r="H14" s="103" t="str">
        <f t="shared" ref="H14" si="62">IF(G14&lt;&gt;"",IF(G14&gt;=90,"A",IF(G14&gt;=80,"B",IF(G14&gt;=70,"C",IF(G14&gt;=60,"D","F")))),"")</f>
        <v/>
      </c>
      <c r="I14" s="83" t="str">
        <f t="shared" si="3"/>
        <v/>
      </c>
      <c r="J14" s="32"/>
      <c r="K14" s="34"/>
      <c r="L14" s="103" t="str">
        <f t="shared" ref="L14" si="63">IF(K14&lt;&gt;"",IF(K14&gt;=90,"A",IF(K14&gt;=80,"B",IF(K14&gt;=70,"C",IF(K14&gt;=60,"D","F")))),"")</f>
        <v/>
      </c>
      <c r="M14" s="83" t="str">
        <f t="shared" si="5"/>
        <v/>
      </c>
      <c r="N14" s="32"/>
      <c r="O14" s="34"/>
      <c r="P14" s="103" t="str">
        <f t="shared" ref="P14" si="64">IF(O14&lt;&gt;"",IF(O14&gt;=90,"A",IF(O14&gt;=80,"B",IF(O14&gt;=70,"C",IF(O14&gt;=60,"D","F")))),"")</f>
        <v/>
      </c>
      <c r="Q14" s="83" t="str">
        <f t="shared" si="7"/>
        <v/>
      </c>
      <c r="R14" s="32"/>
      <c r="S14" s="34"/>
      <c r="T14" s="103" t="str">
        <f t="shared" ref="T14" si="65">IF(S14&lt;&gt;"",IF(S14&gt;=90,"A",IF(S14&gt;=80,"B",IF(S14&gt;=70,"C",IF(S14&gt;=60,"D","F")))),"")</f>
        <v/>
      </c>
      <c r="U14" s="83" t="str">
        <f t="shared" si="9"/>
        <v/>
      </c>
      <c r="V14" s="32"/>
      <c r="W14" s="34"/>
      <c r="X14" s="103" t="str">
        <f t="shared" ref="X14" si="66">IF(W14&lt;&gt;"",IF(W14&gt;=90,"A",IF(W14&gt;=80,"B",IF(W14&gt;=70,"C",IF(W14&gt;=60,"D","F")))),"")</f>
        <v/>
      </c>
      <c r="Y14" s="83" t="str">
        <f t="shared" si="11"/>
        <v/>
      </c>
      <c r="Z14" s="32"/>
      <c r="AA14" s="34"/>
      <c r="AB14" s="103" t="str">
        <f t="shared" ref="AB14" si="67">IF(AA14&lt;&gt;"",IF(AA14&gt;=90,"A",IF(AA14&gt;=80,"B",IF(AA14&gt;=70,"C",IF(AA14&gt;=60,"D","F")))),"")</f>
        <v/>
      </c>
      <c r="AC14" s="83" t="str">
        <f t="shared" si="13"/>
        <v/>
      </c>
      <c r="AD14" s="32"/>
      <c r="AE14" s="34"/>
      <c r="AF14" s="103" t="str">
        <f t="shared" ref="AF14" si="68">IF(AE14&lt;&gt;"",IF(AE14&gt;=90,"A",IF(AE14&gt;=80,"B",IF(AE14&gt;=70,"C",IF(AE14&gt;=60,"D","F")))),"")</f>
        <v/>
      </c>
      <c r="AG14" s="83" t="str">
        <f t="shared" si="15"/>
        <v/>
      </c>
      <c r="AH14" s="32"/>
      <c r="AI14" s="88" t="e">
        <f t="shared" si="22"/>
        <v>#DIV/0!</v>
      </c>
      <c r="AJ14" s="38"/>
      <c r="AK14" s="37" t="s">
        <v>17</v>
      </c>
      <c r="AL14" s="79" t="str">
        <f>CONCATENATE(SUM(C22:AE22)," As")</f>
        <v>0 As</v>
      </c>
      <c r="AM14" s="102" t="e">
        <f>(SUM(C22:AE22))/(SUM(C21:AE21))</f>
        <v>#DIV/0!</v>
      </c>
      <c r="AN14" s="81"/>
    </row>
    <row r="15" spans="2:41" ht="20.25" thickTop="1" thickBot="1" x14ac:dyDescent="0.35">
      <c r="B15" s="30"/>
      <c r="C15" s="31"/>
      <c r="D15" s="103" t="str">
        <f t="shared" si="54"/>
        <v/>
      </c>
      <c r="E15" s="83" t="str">
        <f t="shared" si="2"/>
        <v/>
      </c>
      <c r="F15" s="32"/>
      <c r="G15" s="31"/>
      <c r="H15" s="103" t="str">
        <f t="shared" ref="H15" si="69">IF(G15&lt;&gt;"",IF(G15&gt;=90,"A",IF(G15&gt;=80,"B",IF(G15&gt;=70,"C",IF(G15&gt;=60,"D","F")))),"")</f>
        <v/>
      </c>
      <c r="I15" s="83" t="str">
        <f t="shared" si="3"/>
        <v/>
      </c>
      <c r="J15" s="32"/>
      <c r="K15" s="31"/>
      <c r="L15" s="103" t="str">
        <f t="shared" ref="L15" si="70">IF(K15&lt;&gt;"",IF(K15&gt;=90,"A",IF(K15&gt;=80,"B",IF(K15&gt;=70,"C",IF(K15&gt;=60,"D","F")))),"")</f>
        <v/>
      </c>
      <c r="M15" s="83" t="str">
        <f t="shared" si="5"/>
        <v/>
      </c>
      <c r="N15" s="32"/>
      <c r="O15" s="31"/>
      <c r="P15" s="103" t="str">
        <f t="shared" ref="P15" si="71">IF(O15&lt;&gt;"",IF(O15&gt;=90,"A",IF(O15&gt;=80,"B",IF(O15&gt;=70,"C",IF(O15&gt;=60,"D","F")))),"")</f>
        <v/>
      </c>
      <c r="Q15" s="83" t="str">
        <f t="shared" si="7"/>
        <v/>
      </c>
      <c r="R15" s="32"/>
      <c r="S15" s="31"/>
      <c r="T15" s="103" t="str">
        <f t="shared" ref="T15" si="72">IF(S15&lt;&gt;"",IF(S15&gt;=90,"A",IF(S15&gt;=80,"B",IF(S15&gt;=70,"C",IF(S15&gt;=60,"D","F")))),"")</f>
        <v/>
      </c>
      <c r="U15" s="83" t="str">
        <f t="shared" si="9"/>
        <v/>
      </c>
      <c r="V15" s="32"/>
      <c r="W15" s="31"/>
      <c r="X15" s="103" t="str">
        <f t="shared" ref="X15" si="73">IF(W15&lt;&gt;"",IF(W15&gt;=90,"A",IF(W15&gt;=80,"B",IF(W15&gt;=70,"C",IF(W15&gt;=60,"D","F")))),"")</f>
        <v/>
      </c>
      <c r="Y15" s="83" t="str">
        <f t="shared" si="11"/>
        <v/>
      </c>
      <c r="Z15" s="32"/>
      <c r="AA15" s="31"/>
      <c r="AB15" s="103" t="str">
        <f t="shared" ref="AB15" si="74">IF(AA15&lt;&gt;"",IF(AA15&gt;=90,"A",IF(AA15&gt;=80,"B",IF(AA15&gt;=70,"C",IF(AA15&gt;=60,"D","F")))),"")</f>
        <v/>
      </c>
      <c r="AC15" s="83" t="str">
        <f t="shared" si="13"/>
        <v/>
      </c>
      <c r="AD15" s="32"/>
      <c r="AE15" s="31"/>
      <c r="AF15" s="103" t="str">
        <f t="shared" ref="AF15" si="75">IF(AE15&lt;&gt;"",IF(AE15&gt;=90,"A",IF(AE15&gt;=80,"B",IF(AE15&gt;=70,"C",IF(AE15&gt;=60,"D","F")))),"")</f>
        <v/>
      </c>
      <c r="AG15" s="83" t="str">
        <f t="shared" si="15"/>
        <v/>
      </c>
      <c r="AH15" s="32"/>
      <c r="AI15" s="88" t="e">
        <f t="shared" si="22"/>
        <v>#DIV/0!</v>
      </c>
      <c r="AJ15" s="38"/>
      <c r="AK15" s="37" t="s">
        <v>18</v>
      </c>
      <c r="AL15" s="79" t="str">
        <f>CONCATENATE(SUM(C23:AE23)," Bs")</f>
        <v>0 Bs</v>
      </c>
      <c r="AM15" s="80" t="e">
        <f>(SUM(C23:AE23))/(SUM(C21:AE21))</f>
        <v>#DIV/0!</v>
      </c>
      <c r="AN15" s="81"/>
    </row>
    <row r="16" spans="2:41" ht="20.25" thickTop="1" thickBot="1" x14ac:dyDescent="0.35">
      <c r="B16" s="33" t="s">
        <v>19</v>
      </c>
      <c r="C16" s="34"/>
      <c r="D16" s="103" t="str">
        <f t="shared" si="54"/>
        <v/>
      </c>
      <c r="E16" s="83" t="str">
        <f t="shared" si="2"/>
        <v/>
      </c>
      <c r="F16" s="32"/>
      <c r="G16" s="34"/>
      <c r="H16" s="103" t="str">
        <f t="shared" ref="H16" si="76">IF(G16&lt;&gt;"",IF(G16&gt;=90,"A",IF(G16&gt;=80,"B",IF(G16&gt;=70,"C",IF(G16&gt;=60,"D","F")))),"")</f>
        <v/>
      </c>
      <c r="I16" s="83" t="str">
        <f t="shared" si="3"/>
        <v/>
      </c>
      <c r="J16" s="32"/>
      <c r="K16" s="34"/>
      <c r="L16" s="103" t="str">
        <f t="shared" ref="L16" si="77">IF(K16&lt;&gt;"",IF(K16&gt;=90,"A",IF(K16&gt;=80,"B",IF(K16&gt;=70,"C",IF(K16&gt;=60,"D","F")))),"")</f>
        <v/>
      </c>
      <c r="M16" s="83" t="str">
        <f t="shared" si="5"/>
        <v/>
      </c>
      <c r="N16" s="32"/>
      <c r="O16" s="34"/>
      <c r="P16" s="103" t="str">
        <f t="shared" ref="P16" si="78">IF(O16&lt;&gt;"",IF(O16&gt;=90,"A",IF(O16&gt;=80,"B",IF(O16&gt;=70,"C",IF(O16&gt;=60,"D","F")))),"")</f>
        <v/>
      </c>
      <c r="Q16" s="83" t="str">
        <f t="shared" si="7"/>
        <v/>
      </c>
      <c r="R16" s="32"/>
      <c r="S16" s="34"/>
      <c r="T16" s="103" t="str">
        <f t="shared" ref="T16" si="79">IF(S16&lt;&gt;"",IF(S16&gt;=90,"A",IF(S16&gt;=80,"B",IF(S16&gt;=70,"C",IF(S16&gt;=60,"D","F")))),"")</f>
        <v/>
      </c>
      <c r="U16" s="83" t="str">
        <f t="shared" si="9"/>
        <v/>
      </c>
      <c r="V16" s="32"/>
      <c r="W16" s="34"/>
      <c r="X16" s="103" t="str">
        <f t="shared" ref="X16" si="80">IF(W16&lt;&gt;"",IF(W16&gt;=90,"A",IF(W16&gt;=80,"B",IF(W16&gt;=70,"C",IF(W16&gt;=60,"D","F")))),"")</f>
        <v/>
      </c>
      <c r="Y16" s="83" t="str">
        <f t="shared" si="11"/>
        <v/>
      </c>
      <c r="Z16" s="32"/>
      <c r="AA16" s="34"/>
      <c r="AB16" s="103" t="str">
        <f t="shared" ref="AB16" si="81">IF(AA16&lt;&gt;"",IF(AA16&gt;=90,"A",IF(AA16&gt;=80,"B",IF(AA16&gt;=70,"C",IF(AA16&gt;=60,"D","F")))),"")</f>
        <v/>
      </c>
      <c r="AC16" s="83" t="str">
        <f t="shared" si="13"/>
        <v/>
      </c>
      <c r="AD16" s="32"/>
      <c r="AE16" s="34"/>
      <c r="AF16" s="103" t="str">
        <f t="shared" ref="AF16" si="82">IF(AE16&lt;&gt;"",IF(AE16&gt;=90,"A",IF(AE16&gt;=80,"B",IF(AE16&gt;=70,"C",IF(AE16&gt;=60,"D","F")))),"")</f>
        <v/>
      </c>
      <c r="AG16" s="83" t="str">
        <f t="shared" si="15"/>
        <v/>
      </c>
      <c r="AH16" s="32"/>
      <c r="AI16" s="88"/>
      <c r="AJ16" s="38"/>
      <c r="AK16" s="37" t="s">
        <v>21</v>
      </c>
      <c r="AL16" s="79" t="str">
        <f>CONCATENATE(SUM(C24:AE24)," Cs")</f>
        <v>0 Cs</v>
      </c>
      <c r="AM16" s="80" t="e">
        <f>(SUM(C24:AE24))/(SUM(C21:AE21))</f>
        <v>#DIV/0!</v>
      </c>
      <c r="AN16" s="81"/>
    </row>
    <row r="17" spans="2:40" ht="20.25" thickTop="1" thickBot="1" x14ac:dyDescent="0.35">
      <c r="B17" s="84" t="s">
        <v>19</v>
      </c>
      <c r="C17" s="35"/>
      <c r="D17" s="82" t="str">
        <f t="shared" si="54"/>
        <v/>
      </c>
      <c r="E17" s="83" t="str">
        <f t="shared" si="2"/>
        <v/>
      </c>
      <c r="F17" s="36"/>
      <c r="G17" s="35"/>
      <c r="H17" s="82" t="str">
        <f t="shared" ref="H17" si="83">IF(G17&lt;&gt;"",IF(G17&gt;=90,"A",IF(G17&gt;=80,"B",IF(G17&gt;=70,"C",IF(G17&gt;=60,"D","F")))),"")</f>
        <v/>
      </c>
      <c r="I17" s="83" t="str">
        <f t="shared" si="3"/>
        <v/>
      </c>
      <c r="J17" s="36"/>
      <c r="K17" s="35"/>
      <c r="L17" s="82" t="str">
        <f t="shared" ref="L17" si="84">IF(K17&lt;&gt;"",IF(K17&gt;=90,"A",IF(K17&gt;=80,"B",IF(K17&gt;=70,"C",IF(K17&gt;=60,"D","F")))),"")</f>
        <v/>
      </c>
      <c r="M17" s="83" t="str">
        <f t="shared" si="5"/>
        <v/>
      </c>
      <c r="N17" s="36"/>
      <c r="O17" s="35"/>
      <c r="P17" s="82" t="str">
        <f t="shared" ref="P17" si="85">IF(O17&lt;&gt;"",IF(O17&gt;=90,"A",IF(O17&gt;=80,"B",IF(O17&gt;=70,"C",IF(O17&gt;=60,"D","F")))),"")</f>
        <v/>
      </c>
      <c r="Q17" s="83" t="str">
        <f t="shared" si="7"/>
        <v/>
      </c>
      <c r="R17" s="36"/>
      <c r="S17" s="35"/>
      <c r="T17" s="82" t="str">
        <f t="shared" ref="T17" si="86">IF(S17&lt;&gt;"",IF(S17&gt;=90,"A",IF(S17&gt;=80,"B",IF(S17&gt;=70,"C",IF(S17&gt;=60,"D","F")))),"")</f>
        <v/>
      </c>
      <c r="U17" s="83" t="str">
        <f t="shared" si="9"/>
        <v/>
      </c>
      <c r="V17" s="36"/>
      <c r="W17" s="35"/>
      <c r="X17" s="82" t="str">
        <f t="shared" ref="X17" si="87">IF(W17&lt;&gt;"",IF(W17&gt;=90,"A",IF(W17&gt;=80,"B",IF(W17&gt;=70,"C",IF(W17&gt;=60,"D","F")))),"")</f>
        <v/>
      </c>
      <c r="Y17" s="83" t="str">
        <f t="shared" si="11"/>
        <v/>
      </c>
      <c r="Z17" s="36"/>
      <c r="AA17" s="35"/>
      <c r="AB17" s="82" t="str">
        <f t="shared" ref="AB17" si="88">IF(AA17&lt;&gt;"",IF(AA17&gt;=90,"A",IF(AA17&gt;=80,"B",IF(AA17&gt;=70,"C",IF(AA17&gt;=60,"D","F")))),"")</f>
        <v/>
      </c>
      <c r="AC17" s="83" t="str">
        <f t="shared" si="13"/>
        <v/>
      </c>
      <c r="AD17" s="36"/>
      <c r="AE17" s="35"/>
      <c r="AF17" s="82" t="str">
        <f t="shared" ref="AF17" si="89">IF(AE17&lt;&gt;"",IF(AE17&gt;=90,"A",IF(AE17&gt;=80,"B",IF(AE17&gt;=70,"C",IF(AE17&gt;=60,"D","F")))),"")</f>
        <v/>
      </c>
      <c r="AG17" s="83" t="str">
        <f t="shared" si="15"/>
        <v/>
      </c>
      <c r="AH17" s="36"/>
      <c r="AI17" s="78"/>
      <c r="AJ17" s="38"/>
      <c r="AK17" s="37" t="s">
        <v>22</v>
      </c>
      <c r="AL17" s="79" t="str">
        <f>CONCATENATE(SUM(C25:AE25)," Ds")</f>
        <v>0 Ds</v>
      </c>
      <c r="AM17" s="80" t="e">
        <f>(SUM(C25:AE25))/(SUM(C21:AE21))</f>
        <v>#DIV/0!</v>
      </c>
      <c r="AN17" s="81"/>
    </row>
    <row r="18" spans="2:40" ht="15.75" thickBot="1" x14ac:dyDescent="0.3">
      <c r="AJ18" s="38"/>
      <c r="AK18" s="38"/>
      <c r="AL18" s="39" t="str">
        <f>CONCATENATE(SUM(C26:AE26)," Fs")</f>
        <v>0 Fs</v>
      </c>
      <c r="AM18" s="40" t="e">
        <f>(SUM(C26:AE26))/(SUM(C21:AE21))</f>
        <v>#DIV/0!</v>
      </c>
      <c r="AN18" s="41"/>
    </row>
    <row r="19" spans="2:40" ht="15.75" hidden="1" thickBot="1" x14ac:dyDescent="0.3">
      <c r="C19" s="37" t="str">
        <f>IF(COUNT(C5:C17)&gt;0,8,"")</f>
        <v/>
      </c>
      <c r="G19" s="37" t="str">
        <f t="shared" ref="G19:K19" si="90">IF(COUNT(G5:G17)&gt;0,8,"")</f>
        <v/>
      </c>
      <c r="K19" s="37" t="str">
        <f t="shared" si="90"/>
        <v/>
      </c>
      <c r="O19" s="37" t="str">
        <f>IF(COUNT(O5:O17)&gt;0,8,"")</f>
        <v/>
      </c>
      <c r="S19" s="37" t="str">
        <f>IF(COUNT(S5:S17)&gt;0,8,"")</f>
        <v/>
      </c>
      <c r="W19" s="37" t="str">
        <f>IF(COUNT(W5:W17)&gt;0,8,"")</f>
        <v/>
      </c>
      <c r="AA19" s="37" t="str">
        <f>IF(COUNT(AA5:AA17)&gt;0,8,"")</f>
        <v/>
      </c>
      <c r="AE19" s="37" t="str">
        <f>IF(COUNT(AE5:AE17)&gt;0,8,"")</f>
        <v/>
      </c>
      <c r="AL19" s="38"/>
    </row>
    <row r="20" spans="2:40" ht="15.75" hidden="1" thickBot="1" x14ac:dyDescent="0.3">
      <c r="B20" s="37" t="s">
        <v>15</v>
      </c>
      <c r="C20" s="37" t="str">
        <f t="shared" ref="C20:K20" si="91">IF(COUNT(C5:C17)&gt;0,COUNTIF(C5:C17,"&gt;59")," ")</f>
        <v xml:space="preserve"> </v>
      </c>
      <c r="G20" s="37" t="str">
        <f t="shared" si="91"/>
        <v xml:space="preserve"> </v>
      </c>
      <c r="K20" s="37" t="str">
        <f t="shared" si="91"/>
        <v xml:space="preserve"> </v>
      </c>
      <c r="O20" s="37" t="str">
        <f>IF(COUNT(O5:O17)&gt;0,COUNTIF(O5:O17,"&gt;59")," ")</f>
        <v xml:space="preserve"> </v>
      </c>
      <c r="S20" s="37" t="str">
        <f>IF(COUNT(S5:S17)&gt;0,COUNTIF(S5:S17,"&gt;59")," ")</f>
        <v xml:space="preserve"> </v>
      </c>
      <c r="W20" s="37" t="str">
        <f>IF(COUNT(W5:W17)&gt;0,COUNTIF(W5:W17,"&gt;59")," ")</f>
        <v xml:space="preserve"> </v>
      </c>
      <c r="AA20" s="37" t="str">
        <f>IF(COUNT(AA5:AA17)&gt;0,COUNTIF(AA5:AA17,"&gt;59")," ")</f>
        <v xml:space="preserve"> </v>
      </c>
      <c r="AE20" s="37" t="str">
        <f>IF(COUNT(AE5:AE17)&gt;0,COUNTIF(AE5:AE17,"&gt;59")," ")</f>
        <v xml:space="preserve"> </v>
      </c>
    </row>
    <row r="21" spans="2:40" ht="15.75" hidden="1" thickBot="1" x14ac:dyDescent="0.3">
      <c r="B21" s="37" t="s">
        <v>20</v>
      </c>
      <c r="C21" s="37" t="str">
        <f>IF(COUNT(C5:C17)&gt;0,COUNT(C5:C17)," ")</f>
        <v xml:space="preserve"> </v>
      </c>
      <c r="G21" s="37" t="str">
        <f t="shared" ref="G21:K21" si="92">IF(COUNT(G5:G17)&gt;0,COUNT(G5:G17)," ")</f>
        <v xml:space="preserve"> </v>
      </c>
      <c r="K21" s="37" t="str">
        <f t="shared" si="92"/>
        <v xml:space="preserve"> </v>
      </c>
      <c r="O21" s="37" t="str">
        <f>IF(COUNT(O5:O17)&gt;0,COUNT(O5:O17)," ")</f>
        <v xml:space="preserve"> </v>
      </c>
      <c r="S21" s="37" t="str">
        <f>IF(COUNT(S5:S17)&gt;0,COUNT(S5:S17)," ")</f>
        <v xml:space="preserve"> </v>
      </c>
      <c r="W21" s="37" t="str">
        <f>IF(COUNT(W5:W17)&gt;0,COUNT(W5:W17)," ")</f>
        <v xml:space="preserve"> </v>
      </c>
      <c r="AA21" s="37" t="str">
        <f>IF(COUNT(AA5:AA17)&gt;0,COUNT(AA5:AA17)," ")</f>
        <v xml:space="preserve"> </v>
      </c>
      <c r="AE21" s="37" t="str">
        <f>IF(COUNT(AE5:AE17)&gt;0,COUNT(AE5:AE17)," ")</f>
        <v xml:space="preserve"> </v>
      </c>
    </row>
    <row r="22" spans="2:40" ht="15.75" hidden="1" thickBot="1" x14ac:dyDescent="0.3">
      <c r="B22" s="37" t="s">
        <v>16</v>
      </c>
      <c r="C22" s="37" t="str">
        <f>IF(COUNT(C5:C17)&gt;0,COUNTIF(Grades!$C$5:$C$17,"&gt;=90")," ")</f>
        <v xml:space="preserve"> </v>
      </c>
      <c r="G22" s="37" t="str">
        <f>IF(COUNT(G5:G17)&gt;0,COUNTIF(Grades!$G$5:$G$17,"&gt;=90")," ")</f>
        <v xml:space="preserve"> </v>
      </c>
      <c r="K22" s="37" t="str">
        <f>IF(COUNT(K5:K17)&gt;0,COUNTIF(Grades!$K$5:$K$17,"&gt;=90")," ")</f>
        <v xml:space="preserve"> </v>
      </c>
      <c r="O22" s="37" t="str">
        <f>IF(COUNT(O5:O17)&gt;0,COUNTIF(Grades!$O$5:$O$17,"&gt;=90")," ")</f>
        <v xml:space="preserve"> </v>
      </c>
      <c r="S22" s="37" t="str">
        <f>IF(COUNT(S5:S17)&gt;0,COUNTIF(Grades!$S$5:$S$17,"&gt;=90")," ")</f>
        <v xml:space="preserve"> </v>
      </c>
      <c r="W22" s="37" t="str">
        <f>IF(COUNT(W5:W17)&gt;0,COUNTIF(Grades!$W$5:$W$17,"&gt;=90")," ")</f>
        <v xml:space="preserve"> </v>
      </c>
      <c r="AA22" s="37" t="str">
        <f>IF(COUNT(AA5:AA17)&gt;0,COUNTIF(Grades!$AA$5:$AA$17,"&gt;=90")," ")</f>
        <v xml:space="preserve"> </v>
      </c>
      <c r="AE22" s="37" t="str">
        <f>IF(COUNT(AE5:AE17)&gt;0,COUNTIF(Grades!$AE$5:$AE$17,"&gt;=90")," ")</f>
        <v xml:space="preserve"> </v>
      </c>
    </row>
    <row r="23" spans="2:40" ht="15.75" hidden="1" thickBot="1" x14ac:dyDescent="0.3">
      <c r="B23" s="37" t="s">
        <v>17</v>
      </c>
      <c r="C23" s="37" t="str">
        <f>IF(COUNT(C5:C17)&gt;0,COUNTIF(Grades!$C$5:$C$17,"&gt;=80")-COUNTIF(Grades!$C$5:$C$17,"&gt;=90")," ")</f>
        <v xml:space="preserve"> </v>
      </c>
      <c r="G23" s="37" t="str">
        <f>IF(COUNT(G5:G17)&gt;0,COUNTIF(Grades!$G$5:$G$17,"&gt;=80")-COUNTIF(Grades!$G$5:$G$17,"&gt;=90")," ")</f>
        <v xml:space="preserve"> </v>
      </c>
      <c r="K23" s="37" t="str">
        <f>IF(COUNT(K5:K17)&gt;0,COUNTIF(Grades!$K$5:$K$17,"&gt;=80")-COUNTIF(Grades!$K$5:$K$17,"&gt;=90")," ")</f>
        <v xml:space="preserve"> </v>
      </c>
      <c r="O23" s="37" t="str">
        <f>IF(COUNT(O5:O17)&gt;0,COUNTIF(Grades!$O$5:$O$17,"&gt;=80")-COUNTIF(Grades!$O$5:$O$17,"&gt;=90")," ")</f>
        <v xml:space="preserve"> </v>
      </c>
      <c r="S23" s="37" t="str">
        <f>IF(COUNT(S5:S17)&gt;0,COUNTIF(Grades!$S$5:$S$17,"&gt;=80")-COUNTIF(Grades!$S$5:$S$17,"&gt;=90")," ")</f>
        <v xml:space="preserve"> </v>
      </c>
      <c r="W23" s="37" t="str">
        <f>IF(COUNT(W5:W17)&gt;0,COUNTIF(Grades!$W$5:$W$17,"&gt;=80")-COUNTIF(Grades!$W$5:$W$17,"&gt;=90")," ")</f>
        <v xml:space="preserve"> </v>
      </c>
      <c r="AA23" s="37" t="str">
        <f>IF(COUNT(AA5:AA17)&gt;0,COUNTIF(Grades!$AA$5:$AA$17,"&gt;=80")-COUNTIF(Grades!$AA$5:$AA$17,"&gt;=90")," ")</f>
        <v xml:space="preserve"> </v>
      </c>
      <c r="AE23" s="37" t="str">
        <f>IF(COUNT(AE5:AE17)&gt;0,COUNTIF(Grades!$AE$5:$AE$17,"&gt;=80")-COUNTIF(Grades!$AE$5:$AE$17,"&gt;=90")," ")</f>
        <v xml:space="preserve"> </v>
      </c>
    </row>
    <row r="24" spans="2:40" ht="15.75" hidden="1" thickBot="1" x14ac:dyDescent="0.3">
      <c r="B24" s="37" t="s">
        <v>18</v>
      </c>
      <c r="C24" s="37" t="str">
        <f>IF(COUNT(C5:C17)&gt;0,COUNTIF(Grades!$C$5:$C$17,"&gt;=70")-COUNTIF(Grades!$C$5:$C$17,"&gt;=80")," ")</f>
        <v xml:space="preserve"> </v>
      </c>
      <c r="G24" s="37" t="str">
        <f>IF(COUNT(G5:G17)&gt;0,COUNTIF(Grades!$G$5:$G$17,"&gt;=70")-COUNTIF(Grades!$G$5:$G$17,"&gt;=80")," ")</f>
        <v xml:space="preserve"> </v>
      </c>
      <c r="K24" s="37" t="str">
        <f>IF(COUNT(K5:K17)&gt;0,COUNTIF(Grades!$K$5:$K$17,"&gt;=70")-COUNTIF(Grades!$K$5:$K$17,"&gt;=80")," ")</f>
        <v xml:space="preserve"> </v>
      </c>
      <c r="O24" s="37" t="str">
        <f>IF(COUNT(O5:O17)&gt;0,COUNTIF(Grades!$O$5:$O$17,"&gt;=70")-COUNTIF(Grades!$O$5:$O$17,"&gt;=80")," ")</f>
        <v xml:space="preserve"> </v>
      </c>
      <c r="S24" s="37" t="str">
        <f>IF(COUNT(S5:S17)&gt;0,COUNTIF(Grades!$S$5:$S$17,"&gt;=70")-COUNTIF(Grades!$S$5:$S$17,"&gt;=80")," ")</f>
        <v xml:space="preserve"> </v>
      </c>
      <c r="W24" s="37" t="str">
        <f>IF(COUNT(W5:W17)&gt;0,COUNTIF(Grades!$W$5:$W$17,"&gt;=70")-COUNTIF(Grades!$W$5:$W$17,"&gt;=80")," ")</f>
        <v xml:space="preserve"> </v>
      </c>
      <c r="AA24" s="37" t="str">
        <f>IF(COUNT(AA5:AA17)&gt;0,COUNTIF(Grades!$AA$5:$AA$17,"&gt;=70")-COUNTIF(Grades!$AA$5:$AA$17,"&gt;=80")," ")</f>
        <v xml:space="preserve"> </v>
      </c>
      <c r="AE24" s="37" t="str">
        <f>IF(COUNT(AE5:AE17)&gt;0,COUNTIF(Grades!$AE$5:$AE$17,"&gt;=70")-COUNTIF(Grades!$AE$5:$AE$17,"&gt;=80")," ")</f>
        <v xml:space="preserve"> </v>
      </c>
    </row>
    <row r="25" spans="2:40" ht="15.75" hidden="1" thickBot="1" x14ac:dyDescent="0.3">
      <c r="B25" s="37" t="s">
        <v>21</v>
      </c>
      <c r="C25" s="37" t="str">
        <f>IF(COUNT(C5:C17)&gt;0,COUNTIF(Grades!$C$5:$C$17,"&gt;=60")-COUNTIF(Grades!$C$5:$C$17,"&gt;=70")," ")</f>
        <v xml:space="preserve"> </v>
      </c>
      <c r="G25" s="37" t="str">
        <f>IF(COUNT(G5:G17)&gt;0,COUNTIF(Grades!$G$5:$G$17,"&gt;=60")-COUNTIF(Grades!$G$5:$G$17,"&gt;=70")," ")</f>
        <v xml:space="preserve"> </v>
      </c>
      <c r="K25" s="37" t="str">
        <f>IF(COUNT(K5:K17)&gt;0,COUNTIF(Grades!$K$5:$K$17,"&gt;=60")-COUNTIF(Grades!$K$5:$K$17,"&gt;=70")," ")</f>
        <v xml:space="preserve"> </v>
      </c>
      <c r="O25" s="37" t="str">
        <f>IF(COUNT(O5:O17)&gt;0,COUNTIF(Grades!$O$5:$O$17,"&gt;=60")-COUNTIF(Grades!$O$5:$O$17,"&gt;=70")," ")</f>
        <v xml:space="preserve"> </v>
      </c>
      <c r="S25" s="37" t="str">
        <f>IF(COUNT(S5:S17)&gt;0,COUNTIF(Grades!$S$5:$S$17,"&gt;=60")-COUNTIF(Grades!$S$5:$S$17,"&gt;=70")," ")</f>
        <v xml:space="preserve"> </v>
      </c>
      <c r="W25" s="37" t="str">
        <f>IF(COUNT(W5:W17)&gt;0,COUNTIF(Grades!$W$5:$W$17,"&gt;=60")-COUNTIF(Grades!$W$5:$W$17,"&gt;=70")," ")</f>
        <v xml:space="preserve"> </v>
      </c>
      <c r="AA25" s="37" t="str">
        <f>IF(COUNT(AA5:AA17)&gt;0,COUNTIF(Grades!$AA$5:$AA$17,"&gt;=60")-COUNTIF(Grades!$AA$5:$AA$17,"&gt;=70"),"")</f>
        <v/>
      </c>
      <c r="AE25" s="37" t="str">
        <f>IF(COUNT(AE5:AE17)&gt;0,COUNTIF(Grades!$AE$5:$AE$17,"&gt;=60")-COUNTIF(Grades!$AE$5:$AE$17,"&gt;=70"),"")</f>
        <v/>
      </c>
    </row>
    <row r="26" spans="2:40" ht="15.75" hidden="1" thickBot="1" x14ac:dyDescent="0.3">
      <c r="B26" s="37" t="s">
        <v>22</v>
      </c>
      <c r="C26" s="37" t="str">
        <f>IF(COUNT(C5:C17)&gt;0,COUNTIF(Grades!$C$5:$C$17,"&gt;=0")-COUNTIF(Grades!$C$5:$C$17,"&gt;=60")," ")</f>
        <v xml:space="preserve"> </v>
      </c>
      <c r="G26" s="37" t="str">
        <f>IF(COUNT(G5:G17)&gt;0,COUNTIF(Grades!$G$5:$G$17,"&gt;=0")-COUNTIF(Grades!$G$5:$G$17,"&gt;=60")," ")</f>
        <v xml:space="preserve"> </v>
      </c>
      <c r="K26" s="37" t="str">
        <f>IF(COUNT(K5:K17)&gt;0,COUNTIF(Grades!$K$5:$K$17,"&gt;=0")-COUNTIF(Grades!$K$5:$K$17,"&gt;=60")," ")</f>
        <v xml:space="preserve"> </v>
      </c>
      <c r="O26" s="37" t="str">
        <f>IF(COUNT(O5:O17)&gt;0,COUNTIF(Grades!$O$5:$O$17,"&gt;=0")-COUNTIF(Grades!$O$5:$O$17,"&gt;=60")," ")</f>
        <v xml:space="preserve"> </v>
      </c>
      <c r="S26" s="37" t="str">
        <f>IF(COUNT(S5:S17)&gt;0,COUNTIF(Grades!$S$5:$S$17,"&gt;=0")-COUNTIF(Grades!$S$5:$S$17,"&gt;=60")," ")</f>
        <v xml:space="preserve"> </v>
      </c>
      <c r="W26" s="37" t="str">
        <f>IF(COUNT(W5:W17)&gt;0,COUNTIF(Grades!$W$5:$W$17,"&gt;=0")-COUNTIF(Grades!$W$5:$W$17,"&gt;=60")," ")</f>
        <v xml:space="preserve"> </v>
      </c>
      <c r="AA26" s="37" t="str">
        <f>IF(COUNT(AA5:AA17)&gt;0,COUNTIF(Grades!$AA$5:$AA$17,"&gt;=0")-COUNTIF(Grades!$AA$5:$AA$17,"&gt;=60"),"")</f>
        <v/>
      </c>
      <c r="AE26" s="37" t="str">
        <f>IF(COUNT(AE5:AE17)&gt;0,COUNTIF(Grades!$AE$5:$AE$17,"&gt;=0")-COUNTIF(Grades!$AE$5:$AE$17,"&gt;=60"),"")</f>
        <v/>
      </c>
    </row>
    <row r="27" spans="2:40" ht="15.75" thickBot="1" x14ac:dyDescent="0.3">
      <c r="B27" s="42" t="s">
        <v>23</v>
      </c>
      <c r="C27" s="43" t="str">
        <f>IF(COUNT(C5:C17)&gt;0,((C22*4)+(C23*3)+(C24*2)+(C25*1))/C20," ")</f>
        <v xml:space="preserve"> </v>
      </c>
      <c r="D27" s="44"/>
      <c r="E27" s="45"/>
      <c r="F27" s="46"/>
      <c r="G27" s="47" t="str">
        <f>IF(COUNT(G5:G17)&gt;0,((G22*4)+(G23*3)+(G24*2)+(G25*1))/G20," ")</f>
        <v xml:space="preserve"> </v>
      </c>
      <c r="H27" s="48"/>
      <c r="I27" s="49"/>
      <c r="J27" s="50"/>
      <c r="K27" s="47" t="str">
        <f>IF(COUNT(K5:K17)&gt;0,((K22*4)+(K23*3)+(K24*2)+(K25*1))/K20," ")</f>
        <v xml:space="preserve"> </v>
      </c>
      <c r="L27" s="48"/>
      <c r="M27" s="49"/>
      <c r="N27" s="49"/>
      <c r="O27" s="51" t="str">
        <f>IF(COUNT(O5:O17)&gt;0,((O22*4)+(O23*3)+(O24*2)+(O25*1))/O20," ")</f>
        <v xml:space="preserve"> </v>
      </c>
      <c r="P27" s="48"/>
      <c r="Q27" s="49"/>
      <c r="R27" s="49"/>
      <c r="S27" s="51" t="str">
        <f>IF(COUNT(S5:S17)&gt;0,((S22*4)+(S23*3)+(S24*2)+(S25*1))/S20," ")</f>
        <v xml:space="preserve"> </v>
      </c>
      <c r="T27" s="48"/>
      <c r="U27" s="49"/>
      <c r="V27" s="49"/>
      <c r="W27" s="51" t="str">
        <f>IF(COUNT(W5:W17)&gt;0,((W22*4)+(W23*3)+(W24*2)+(W25*1))/W20," ")</f>
        <v xml:space="preserve"> </v>
      </c>
      <c r="X27" s="48"/>
      <c r="Y27" s="49"/>
      <c r="Z27" s="49"/>
      <c r="AA27" s="51" t="str">
        <f>IF(COUNT(AA5:AA17)&gt;0,((AA22*4)+(AA23*3)+(AA24*2)+(AA25*1))/AA20," ")</f>
        <v xml:space="preserve"> </v>
      </c>
      <c r="AB27" s="48"/>
      <c r="AC27" s="49"/>
      <c r="AD27" s="50"/>
      <c r="AE27" s="52" t="str">
        <f>IF(COUNT(AE5:AE17)&gt;0,((AE22*4)+(AE23*3)+(AE24*2)+(AE25*1))/AE20," ")</f>
        <v xml:space="preserve"> </v>
      </c>
      <c r="AH27" s="53"/>
      <c r="AI27" s="54"/>
    </row>
    <row r="28" spans="2:40" ht="16.5" thickTop="1" thickBot="1" x14ac:dyDescent="0.3">
      <c r="B28" s="55" t="s">
        <v>24</v>
      </c>
      <c r="C28" s="56" t="str">
        <f>IF(COUNT(C5:C17)&gt;0,C27/1,"")</f>
        <v/>
      </c>
      <c r="D28" s="57"/>
      <c r="E28" s="58"/>
      <c r="F28" s="59"/>
      <c r="G28" s="56" t="str">
        <f>IF(COUNT(G5:G17)&gt;0,SUM(C27:G27)/2,"")</f>
        <v/>
      </c>
      <c r="H28" s="60"/>
      <c r="I28" s="61"/>
      <c r="J28" s="62"/>
      <c r="K28" s="56" t="str">
        <f>IF(COUNT(K5:K17)&gt;0,SUM(C27:K27)/3,"")</f>
        <v/>
      </c>
      <c r="L28" s="60"/>
      <c r="M28" s="61"/>
      <c r="N28" s="61"/>
      <c r="O28" s="63" t="str">
        <f>IF(COUNT(O5:O17)&gt;0,SUM(C27:O27)/4,"")</f>
        <v/>
      </c>
      <c r="P28" s="60"/>
      <c r="Q28" s="61"/>
      <c r="R28" s="61"/>
      <c r="S28" s="63" t="str">
        <f>IF(COUNT(S5:S17)&gt;0,SUM(C27:S27)/5,"")</f>
        <v/>
      </c>
      <c r="T28" s="60"/>
      <c r="U28" s="61"/>
      <c r="V28" s="61"/>
      <c r="W28" s="63" t="str">
        <f>IF(COUNT(W5:W17)&gt;0,SUM(C27:W27)/6,"")</f>
        <v/>
      </c>
      <c r="X28" s="60"/>
      <c r="Y28" s="61"/>
      <c r="Z28" s="61"/>
      <c r="AA28" s="64" t="str">
        <f>IF(COUNT(AA5:AA17)&gt;0,SUM(C27:AA27)/7,"")</f>
        <v/>
      </c>
      <c r="AB28" s="60"/>
      <c r="AC28" s="61"/>
      <c r="AD28" s="62"/>
      <c r="AE28" s="65" t="str">
        <f>IF(COUNT(AE5:AE17)&gt;0,SUM(C27:AE27)/8,"")</f>
        <v/>
      </c>
      <c r="AH28" s="66"/>
      <c r="AI28" s="67"/>
    </row>
    <row r="29" spans="2:40" ht="15.75" thickBot="1" x14ac:dyDescent="0.3"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</row>
    <row r="30" spans="2:40" ht="15.75" thickBot="1" x14ac:dyDescent="0.3">
      <c r="B30" s="42" t="s">
        <v>31</v>
      </c>
      <c r="C30" s="43" t="str">
        <f>IF(COUNT(C21)&gt;0,SUM(E5:E17)/C21,"")</f>
        <v/>
      </c>
      <c r="D30" s="69"/>
      <c r="E30" s="70"/>
      <c r="F30" s="71"/>
      <c r="G30" s="43" t="str">
        <f>IF(COUNT(G21)&gt;0,SUM(I5:I17)/G21,"")</f>
        <v/>
      </c>
      <c r="H30" s="69"/>
      <c r="I30" s="70"/>
      <c r="J30" s="71"/>
      <c r="K30" s="43" t="str">
        <f>IF(COUNT(K21)&gt;0,SUM(M5:M17)/K21,"")</f>
        <v/>
      </c>
      <c r="L30" s="69"/>
      <c r="M30" s="70"/>
      <c r="N30" s="71"/>
      <c r="O30" s="43" t="str">
        <f>IF(COUNT(O21)&gt;0,SUM(Q5:Q17)/O21,"")</f>
        <v/>
      </c>
      <c r="P30" s="69"/>
      <c r="Q30" s="70"/>
      <c r="R30" s="71"/>
      <c r="S30" s="43" t="str">
        <f>IF(COUNT(S21)&gt;0,SUM(U5:U17)/S21,"")</f>
        <v/>
      </c>
      <c r="T30" s="69"/>
      <c r="U30" s="70"/>
      <c r="V30" s="71"/>
      <c r="W30" s="43" t="str">
        <f>IF(COUNT(W21)&gt;0,SUM(Y5:Y17)/W21,"")</f>
        <v/>
      </c>
      <c r="X30" s="69"/>
      <c r="Y30" s="70"/>
      <c r="Z30" s="71"/>
      <c r="AA30" s="72" t="str">
        <f>IF(COUNT(AA21)&gt;0,SUM(AC5:AC17)/AA21,"")</f>
        <v/>
      </c>
      <c r="AB30" s="69"/>
      <c r="AC30" s="70"/>
      <c r="AD30" s="71"/>
      <c r="AE30" s="73" t="str">
        <f>IF(COUNT(AE21)&gt;0,SUM(AG5:AG17)/AE21,"")</f>
        <v/>
      </c>
      <c r="AH30" s="53"/>
      <c r="AI30" s="54"/>
    </row>
    <row r="31" spans="2:40" ht="16.5" thickTop="1" thickBot="1" x14ac:dyDescent="0.3">
      <c r="B31" s="55" t="s">
        <v>32</v>
      </c>
      <c r="C31" s="56" t="str">
        <f>IF(COUNT(C21)&gt;0,SUM(E5:E11)/C21,"")</f>
        <v/>
      </c>
      <c r="D31" s="74"/>
      <c r="E31" s="75"/>
      <c r="F31" s="76"/>
      <c r="G31" s="77" t="str">
        <f>IF(COUNT(G21)&gt;0,SUM(I5:I17,E5:E17)/SUM(G21,C21),"")</f>
        <v/>
      </c>
      <c r="H31" s="74"/>
      <c r="I31" s="75"/>
      <c r="J31" s="76"/>
      <c r="K31" s="77" t="str">
        <f>IF(COUNT(K21)&gt;0,SUM(M5:M17,I5:I17,E5:E17)/SUM(K21,G21,C21),"")</f>
        <v/>
      </c>
      <c r="L31" s="74"/>
      <c r="M31" s="75"/>
      <c r="N31" s="76"/>
      <c r="O31" s="77" t="str">
        <f>IF(COUNT(O21)&gt;0,SUM(Q5:Q17,M5:M17,I5:I17,E5:E17)/SUM(O21,K21,G21,C21),"")</f>
        <v/>
      </c>
      <c r="P31" s="74"/>
      <c r="Q31" s="75"/>
      <c r="R31" s="76"/>
      <c r="S31" s="77" t="str">
        <f>IF(COUNT(S21)&gt;0,SUM(U5:U17,Q5:Q17,M5:M17,I5:I17,E5:E17)/SUM(S21,O21,K21,G21,C21),"")</f>
        <v/>
      </c>
      <c r="T31" s="74"/>
      <c r="U31" s="75"/>
      <c r="V31" s="76"/>
      <c r="W31" s="77" t="str">
        <f>IF(COUNT(W21)&gt;0,SUM(Y5:Y17,U5:U17,Q5:Q17,M5:M17,I5:I17,E5:E17)/SUM(W21,S21,O21,K21,G21,C21),"")</f>
        <v/>
      </c>
      <c r="X31" s="74"/>
      <c r="Y31" s="75"/>
      <c r="Z31" s="76"/>
      <c r="AA31" s="64" t="str">
        <f>IF(COUNT(AA21)&gt;0,SUM(AC5:AC17,Y5:Y17,U5:U17,Q5:Q17,M5:M17,I5:I17,E5:E17)/SUM(AA21,W21,S21,O21,K21,G21,C21),"")</f>
        <v/>
      </c>
      <c r="AB31" s="74"/>
      <c r="AC31" s="75"/>
      <c r="AD31" s="76"/>
      <c r="AE31" s="65" t="str">
        <f>IF(COUNT(AE21)&gt;0,SUM(AG5:AG17,AC5:AC17,Y5:Y17,U5:U17,Q5:Q17,M5:M17,I5:I17,E5:E17)/SUM(AE21,AA21,W21,S21,O21,K21,G21,C21),"")</f>
        <v/>
      </c>
      <c r="AH31" s="66"/>
      <c r="AI31" s="67"/>
    </row>
  </sheetData>
  <sheetProtection algorithmName="SHA-512" hashValue="oh/phm19QNkr1oSRri23P4DInDPTRmNIfs/Fd1n2NeY5IrxfZp4ZexC6JWjKwly8Zl+RTF48BgGTlEfcMfXOsg==" saltValue="+mznoth7Qs0XNG5QJ7cjlQ==" spinCount="100000" sheet="1" objects="1" scenarios="1"/>
  <protectedRanges>
    <protectedRange algorithmName="SHA-512" hashValue="Zvq6zTy5JrougePpFX+EYCA/YwKK8xv963oIdCjR2x4oHQKbsHv+MGpbSLmG3QCIN229n4SBMq0fYKInTX2zag==" saltValue="2fHpw9Bwj61qZ+/wJXXGnw==" spinCount="100000" sqref="B5:B15 C5:C17 F5:G17 J5:K17 N5:O17 R5:S17 V5:W17 Z5:AA17 AD5:AE17 AH5:AH17" name="ClassGrade_Info"/>
  </protectedRanges>
  <mergeCells count="40">
    <mergeCell ref="AL3:AM3"/>
    <mergeCell ref="C1:AI1"/>
    <mergeCell ref="C3:F3"/>
    <mergeCell ref="G3:J3"/>
    <mergeCell ref="K3:N3"/>
    <mergeCell ref="O3:R3"/>
    <mergeCell ref="S3:V3"/>
    <mergeCell ref="W3:Z3"/>
    <mergeCell ref="AA3:AD3"/>
    <mergeCell ref="AE3:AH3"/>
    <mergeCell ref="AH30:AI31"/>
    <mergeCell ref="AM18:AN18"/>
    <mergeCell ref="C2:J2"/>
    <mergeCell ref="K2:R2"/>
    <mergeCell ref="S2:Z2"/>
    <mergeCell ref="AA2:AH2"/>
    <mergeCell ref="AB27:AD28"/>
    <mergeCell ref="AM17:AN17"/>
    <mergeCell ref="AM16:AN16"/>
    <mergeCell ref="AM15:AN15"/>
    <mergeCell ref="AM14:AN14"/>
    <mergeCell ref="D30:F31"/>
    <mergeCell ref="T30:V31"/>
    <mergeCell ref="B29:AE29"/>
    <mergeCell ref="AL2:AM2"/>
    <mergeCell ref="AL8:AO9"/>
    <mergeCell ref="AB30:AD31"/>
    <mergeCell ref="X30:Z31"/>
    <mergeCell ref="P30:R31"/>
    <mergeCell ref="L30:N31"/>
    <mergeCell ref="H30:J31"/>
    <mergeCell ref="AM12:AN12"/>
    <mergeCell ref="D27:F28"/>
    <mergeCell ref="H27:J28"/>
    <mergeCell ref="L27:N28"/>
    <mergeCell ref="P27:R28"/>
    <mergeCell ref="T27:V28"/>
    <mergeCell ref="X27:Z28"/>
    <mergeCell ref="AM13:AN13"/>
    <mergeCell ref="AH27:AI28"/>
  </mergeCells>
  <conditionalFormatting sqref="C20:AH21">
    <cfRule type="aboveAverage" dxfId="17" priority="115"/>
    <cfRule type="aboveAverage" dxfId="16" priority="116" aboveAverage="0"/>
    <cfRule type="aboveAverage" dxfId="15" priority="117"/>
  </conditionalFormatting>
  <conditionalFormatting sqref="AF22:AH23">
    <cfRule type="aboveAverage" dxfId="14" priority="125"/>
  </conditionalFormatting>
  <conditionalFormatting sqref="AF25:AH26">
    <cfRule type="aboveAverage" dxfId="13" priority="127"/>
  </conditionalFormatting>
  <conditionalFormatting sqref="AF24:AH24">
    <cfRule type="aboveAverage" dxfId="12" priority="129"/>
  </conditionalFormatting>
  <conditionalFormatting sqref="B4:AI17">
    <cfRule type="containsBlanks" dxfId="11" priority="10">
      <formula>LEN(TRIM(B4))=0</formula>
    </cfRule>
  </conditionalFormatting>
  <conditionalFormatting sqref="AI5:AI1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{5D619244-991F-4A8E-B4A4-9B84B8509CFC}</x14:id>
        </ext>
      </extLst>
    </cfRule>
  </conditionalFormatting>
  <conditionalFormatting sqref="AM4">
    <cfRule type="containsBlanks" dxfId="10" priority="8">
      <formula>LEN(TRIM(AM4))=0</formula>
    </cfRule>
  </conditionalFormatting>
  <conditionalFormatting sqref="D5:D17 H5:H17 L5:L17 P5:P17 T5:T17 X5:X17 AB5:AB17 AF5:AF17">
    <cfRule type="containsBlanks" dxfId="9" priority="6">
      <formula>LEN(TRIM(D5))=0</formula>
    </cfRule>
  </conditionalFormatting>
  <conditionalFormatting sqref="AI5:AI17">
    <cfRule type="containsBlanks" dxfId="8" priority="5">
      <formula>LEN(TRIM(AI5))=0</formula>
    </cfRule>
  </conditionalFormatting>
  <conditionalFormatting sqref="AM6">
    <cfRule type="containsBlanks" dxfId="7" priority="2">
      <formula>LEN(TRIM(AM6))=0</formula>
    </cfRule>
  </conditionalFormatting>
  <conditionalFormatting sqref="AM6">
    <cfRule type="containsBlanks" dxfId="6" priority="1">
      <formula>LEN(TRIM(AM6))=0</formula>
    </cfRule>
  </conditionalFormatting>
  <dataValidations count="7">
    <dataValidation allowBlank="1" showInputMessage="1" showErrorMessage="1" promptTitle="Tutorial" prompt="_x000a_Enter Data in the striped cells to start._x000a__x000a_Click on the table's heading for more information about a column._x000a__x000a_View the example sheet (bottom left) for more information." sqref="B1" xr:uid="{5BB71CB3-E8A1-47D2-AF2D-3ED68E7D7CF9}"/>
    <dataValidation allowBlank="1" showInputMessage="1" showErrorMessage="1" promptTitle="Class Grades" prompt="_x000a_This is where you put you class grades to be calculated._x000a__x000a_if you recieved an 86% in a class, format it as &quot;86&quot;, and NOT &quot;86%&quot; or &quot;0.86&quot;" sqref="C4" xr:uid="{30D2BA32-81A9-4D6F-97E8-E1231FA3D742}"/>
    <dataValidation allowBlank="1" showInputMessage="1" showErrorMessage="1" promptTitle="Letter Grade" prompt="_x000a_This outputs your grade as a letter." sqref="D4" xr:uid="{7938B0AB-DC5B-481E-ACD4-F1172550D069}"/>
    <dataValidation allowBlank="1" showInputMessage="1" showErrorMessage="1" promptTitle="Grade Weight" prompt="_x000a_This helps calculate your weighted GPA. _x000a__x000a_Most classes are on a 4-point scale, so for those classes, you would enter &quot;4&quot;. Some classes may be worth 5 points, so you would enter a &quot;5&quot;." sqref="F4" xr:uid="{DAFC6845-1D02-4A36-8FF5-F83CF649CAB5}"/>
    <dataValidation allowBlank="1" showInputMessage="1" showErrorMessage="1" promptTitle="Grade Level" prompt="_x000a_All cells under this one are in reference to your freshman year/9th grade." sqref="C2:J2" xr:uid="{4D6125F2-D4EB-4339-AC1E-1B5C7843FB03}"/>
    <dataValidation allowBlank="1" showInputMessage="1" showErrorMessage="1" promptTitle="Semester" prompt="_x000a_The cells below this one all reference the first semester of your freshman year._x000a__x000a_9=Freshman_x000a_1=First Semester" sqref="C3:F3" xr:uid="{00A7C83F-3E27-45EE-ABDD-BAEBE1A9D1B8}"/>
    <dataValidation allowBlank="1" showInputMessage="1" showErrorMessage="1" promptTitle="Class Entry" prompt="_x000a_These are the class types that you are taking. Not the exact class, but the field that It would fall into._x000a__x000a_For example, you may have a row titled &quot;Math&quot;. You would put your 9th,10th,11th, and 12th grade math classes in the data entry slots." sqref="B4" xr:uid="{CA7C767D-37DD-4CB4-BA5C-2D83298D9DFE}"/>
  </dataValidations>
  <hyperlinks>
    <hyperlink ref="AL8:AO9" r:id="rId1" display="Click here to contact me" xr:uid="{120611EA-9792-45A7-BE55-48A1EAE8CD2D}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619244-991F-4A8E-B4A4-9B84B8509C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AI5:AI15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45CF4-F0E3-4652-BB91-4C282C54D5D6}">
  <dimension ref="B2:AI18"/>
  <sheetViews>
    <sheetView zoomScale="85" zoomScaleNormal="85" workbookViewId="0">
      <selection activeCell="AK13" sqref="AK13"/>
    </sheetView>
  </sheetViews>
  <sheetFormatPr defaultRowHeight="15" x14ac:dyDescent="0.25"/>
  <cols>
    <col min="2" max="2" width="21.28515625" bestFit="1" customWidth="1"/>
    <col min="3" max="3" width="7.28515625" bestFit="1" customWidth="1"/>
    <col min="4" max="4" width="2.42578125" bestFit="1" customWidth="1"/>
    <col min="5" max="5" width="4.85546875" hidden="1" customWidth="1"/>
    <col min="6" max="6" width="3" bestFit="1" customWidth="1"/>
    <col min="7" max="7" width="7.28515625" bestFit="1" customWidth="1"/>
    <col min="8" max="8" width="2.42578125" bestFit="1" customWidth="1"/>
    <col min="9" max="9" width="4.85546875" hidden="1" customWidth="1"/>
    <col min="10" max="10" width="3" bestFit="1" customWidth="1"/>
    <col min="11" max="11" width="7.28515625" bestFit="1" customWidth="1"/>
    <col min="12" max="12" width="2.42578125" bestFit="1" customWidth="1"/>
    <col min="13" max="13" width="4.85546875" hidden="1" customWidth="1"/>
    <col min="14" max="14" width="3" bestFit="1" customWidth="1"/>
    <col min="15" max="15" width="7.28515625" bestFit="1" customWidth="1"/>
    <col min="16" max="16" width="2.42578125" bestFit="1" customWidth="1"/>
    <col min="17" max="17" width="4.85546875" hidden="1" customWidth="1"/>
    <col min="18" max="18" width="3" bestFit="1" customWidth="1"/>
    <col min="19" max="19" width="7.28515625" bestFit="1" customWidth="1"/>
    <col min="20" max="20" width="2.42578125" bestFit="1" customWidth="1"/>
    <col min="21" max="21" width="4.85546875" hidden="1" customWidth="1"/>
    <col min="22" max="22" width="3" bestFit="1" customWidth="1"/>
    <col min="23" max="23" width="7.28515625" bestFit="1" customWidth="1"/>
    <col min="24" max="24" width="2.42578125" bestFit="1" customWidth="1"/>
    <col min="25" max="25" width="4.85546875" hidden="1" customWidth="1"/>
    <col min="26" max="26" width="3" bestFit="1" customWidth="1"/>
    <col min="27" max="27" width="7.28515625" bestFit="1" customWidth="1"/>
    <col min="28" max="28" width="2" bestFit="1" customWidth="1"/>
    <col min="29" max="29" width="4.85546875" hidden="1" customWidth="1"/>
    <col min="30" max="30" width="3" bestFit="1" customWidth="1"/>
    <col min="31" max="31" width="7.28515625" bestFit="1" customWidth="1"/>
    <col min="32" max="32" width="2" bestFit="1" customWidth="1"/>
    <col min="33" max="33" width="4.85546875" hidden="1" customWidth="1"/>
    <col min="34" max="34" width="3" bestFit="1" customWidth="1"/>
    <col min="35" max="35" width="16.28515625" bestFit="1" customWidth="1"/>
  </cols>
  <sheetData>
    <row r="2" spans="2:35" x14ac:dyDescent="0.25">
      <c r="B2" s="27" t="s">
        <v>36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</row>
    <row r="3" spans="2:35" x14ac:dyDescent="0.2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</row>
    <row r="4" spans="2:35" x14ac:dyDescent="0.25"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</row>
    <row r="5" spans="2:35" x14ac:dyDescent="0.25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</row>
    <row r="6" spans="2:35" ht="15.75" thickBot="1" x14ac:dyDescent="0.3"/>
    <row r="7" spans="2:35" ht="15.75" thickBot="1" x14ac:dyDescent="0.3">
      <c r="B7" s="18"/>
      <c r="C7" s="21" t="s">
        <v>0</v>
      </c>
      <c r="D7" s="21"/>
      <c r="E7" s="21"/>
      <c r="F7" s="21"/>
      <c r="G7" s="21"/>
      <c r="H7" s="21"/>
      <c r="I7" s="21"/>
      <c r="J7" s="22"/>
      <c r="K7" s="23" t="s">
        <v>1</v>
      </c>
      <c r="L7" s="21"/>
      <c r="M7" s="21"/>
      <c r="N7" s="21"/>
      <c r="O7" s="21"/>
      <c r="P7" s="21"/>
      <c r="Q7" s="21"/>
      <c r="R7" s="22"/>
      <c r="S7" s="23" t="s">
        <v>2</v>
      </c>
      <c r="T7" s="21"/>
      <c r="U7" s="21"/>
      <c r="V7" s="21"/>
      <c r="W7" s="21"/>
      <c r="X7" s="21"/>
      <c r="Y7" s="21"/>
      <c r="Z7" s="22"/>
      <c r="AA7" s="23" t="s">
        <v>3</v>
      </c>
      <c r="AB7" s="21"/>
      <c r="AC7" s="21"/>
      <c r="AD7" s="21"/>
      <c r="AE7" s="21"/>
      <c r="AF7" s="21"/>
      <c r="AG7" s="21"/>
      <c r="AH7" s="22"/>
      <c r="AI7" s="1"/>
    </row>
    <row r="8" spans="2:35" ht="15.75" thickBot="1" x14ac:dyDescent="0.3">
      <c r="B8" s="19"/>
      <c r="C8" s="24" t="s">
        <v>7</v>
      </c>
      <c r="D8" s="24"/>
      <c r="E8" s="24"/>
      <c r="F8" s="25"/>
      <c r="G8" s="26" t="s">
        <v>8</v>
      </c>
      <c r="H8" s="24"/>
      <c r="I8" s="24"/>
      <c r="J8" s="25"/>
      <c r="K8" s="26" t="s">
        <v>9</v>
      </c>
      <c r="L8" s="24"/>
      <c r="M8" s="24"/>
      <c r="N8" s="24"/>
      <c r="O8" s="24" t="s">
        <v>10</v>
      </c>
      <c r="P8" s="24"/>
      <c r="Q8" s="24"/>
      <c r="R8" s="25"/>
      <c r="S8" s="26" t="s">
        <v>11</v>
      </c>
      <c r="T8" s="24"/>
      <c r="U8" s="24"/>
      <c r="V8" s="24"/>
      <c r="W8" s="24" t="s">
        <v>12</v>
      </c>
      <c r="X8" s="24"/>
      <c r="Y8" s="24"/>
      <c r="Z8" s="25"/>
      <c r="AA8" s="26" t="s">
        <v>13</v>
      </c>
      <c r="AB8" s="24"/>
      <c r="AC8" s="24"/>
      <c r="AD8" s="24"/>
      <c r="AE8" s="24" t="s">
        <v>14</v>
      </c>
      <c r="AF8" s="24"/>
      <c r="AG8" s="24"/>
      <c r="AH8" s="25"/>
      <c r="AI8" s="17"/>
    </row>
    <row r="9" spans="2:35" ht="15.75" thickBot="1" x14ac:dyDescent="0.3">
      <c r="B9" s="20" t="s">
        <v>27</v>
      </c>
      <c r="C9" s="2" t="s">
        <v>35</v>
      </c>
      <c r="D9" s="3" t="s">
        <v>29</v>
      </c>
      <c r="E9" s="8" t="s">
        <v>30</v>
      </c>
      <c r="F9" s="4" t="s">
        <v>28</v>
      </c>
      <c r="G9" s="2" t="s">
        <v>35</v>
      </c>
      <c r="H9" s="3" t="s">
        <v>29</v>
      </c>
      <c r="I9" s="8" t="s">
        <v>30</v>
      </c>
      <c r="J9" s="4" t="s">
        <v>28</v>
      </c>
      <c r="K9" s="2" t="s">
        <v>35</v>
      </c>
      <c r="L9" s="3" t="s">
        <v>29</v>
      </c>
      <c r="M9" s="8" t="s">
        <v>30</v>
      </c>
      <c r="N9" s="4" t="s">
        <v>28</v>
      </c>
      <c r="O9" s="2" t="s">
        <v>35</v>
      </c>
      <c r="P9" s="3" t="s">
        <v>29</v>
      </c>
      <c r="Q9" s="8" t="s">
        <v>30</v>
      </c>
      <c r="R9" s="4" t="s">
        <v>28</v>
      </c>
      <c r="S9" s="2" t="s">
        <v>35</v>
      </c>
      <c r="T9" s="3" t="s">
        <v>29</v>
      </c>
      <c r="U9" s="8" t="s">
        <v>30</v>
      </c>
      <c r="V9" s="4" t="s">
        <v>28</v>
      </c>
      <c r="W9" s="2" t="s">
        <v>35</v>
      </c>
      <c r="X9" s="3" t="s">
        <v>29</v>
      </c>
      <c r="Y9" s="8" t="s">
        <v>30</v>
      </c>
      <c r="Z9" s="4" t="s">
        <v>28</v>
      </c>
      <c r="AA9" s="2" t="s">
        <v>35</v>
      </c>
      <c r="AB9" s="3" t="s">
        <v>29</v>
      </c>
      <c r="AC9" s="8" t="s">
        <v>30</v>
      </c>
      <c r="AD9" s="4" t="s">
        <v>28</v>
      </c>
      <c r="AE9" s="2" t="s">
        <v>35</v>
      </c>
      <c r="AF9" s="3" t="s">
        <v>29</v>
      </c>
      <c r="AG9" s="8" t="s">
        <v>30</v>
      </c>
      <c r="AH9" s="4" t="s">
        <v>28</v>
      </c>
      <c r="AI9" s="7" t="s">
        <v>26</v>
      </c>
    </row>
    <row r="10" spans="2:35" ht="19.5" thickBot="1" x14ac:dyDescent="0.35">
      <c r="B10" s="13" t="s">
        <v>4</v>
      </c>
      <c r="C10" s="5">
        <v>90</v>
      </c>
      <c r="D10" s="9" t="str">
        <f t="shared" ref="D10:D14" si="0">IF(C10&lt;&gt;"",IF(C10&gt;=90,"A",IF(C10&gt;=80,"B",IF(C10&gt;=70,"C",IF(C10&gt;=60,"D","F")))),"")</f>
        <v>A</v>
      </c>
      <c r="E10" s="10">
        <f>IF(C10&lt;&gt;"",IF(D10="A",F10,IF(D10="B",F10-1,IF(D10="C",F10-2,IF(D10="D",F10-3,IF(D10="F",0))))),"")</f>
        <v>4</v>
      </c>
      <c r="F10" s="11">
        <v>4</v>
      </c>
      <c r="G10" s="5">
        <v>85</v>
      </c>
      <c r="H10" s="9" t="str">
        <f t="shared" ref="H10:T14" si="1">IF(G10&lt;&gt;"",IF(G10&gt;=90,"A",IF(G10&gt;=80,"B",IF(G10&gt;=70,"C",IF(G10&gt;=60,"D","F")))),"")</f>
        <v>B</v>
      </c>
      <c r="I10" s="10">
        <f>IF(G10&lt;&gt;"",IF(H10="A",J10,IF(H10="B",J10-1,IF(H10="C",J10-2,IF(H10="D",J10-3,IF(H10="F",0))))),"")</f>
        <v>3</v>
      </c>
      <c r="J10" s="11">
        <v>4</v>
      </c>
      <c r="K10" s="5">
        <v>91</v>
      </c>
      <c r="L10" s="9" t="str">
        <f t="shared" si="1"/>
        <v>A</v>
      </c>
      <c r="M10" s="10">
        <f>IF(K10&lt;&gt;"",IF(L10="A",N10,IF(L10="B",N10-1,IF(L10="C",N10-2,IF(L10="D",N10-3,IF(L10="F",0))))),"")</f>
        <v>4</v>
      </c>
      <c r="N10" s="11">
        <v>4</v>
      </c>
      <c r="O10" s="5">
        <v>92</v>
      </c>
      <c r="P10" s="9" t="str">
        <f t="shared" si="1"/>
        <v>A</v>
      </c>
      <c r="Q10" s="10">
        <f>IF(O10&lt;&gt;"",IF(P10="A",R10,IF(P10="B",R10-1,IF(P10="C",R10-2,IF(P10="D",R10-3,IF(P10="F",0))))),"")</f>
        <v>4</v>
      </c>
      <c r="R10" s="11">
        <v>4</v>
      </c>
      <c r="S10" s="5">
        <v>90</v>
      </c>
      <c r="T10" s="9" t="str">
        <f t="shared" si="1"/>
        <v>A</v>
      </c>
      <c r="U10" s="10">
        <f>IF(S10&lt;&gt;"",IF(T10="A",V10,IF(T10="B",V10-1,IF(T10="C",V10-2,IF(T10="D",V10-3,IF(T10="F",0))))),"")</f>
        <v>4</v>
      </c>
      <c r="V10" s="11">
        <v>4</v>
      </c>
      <c r="W10" s="5">
        <v>91</v>
      </c>
      <c r="X10" s="9" t="str">
        <f t="shared" ref="X10:AF14" si="2">IF(W10&lt;&gt;"",IF(W10&gt;=90,"A",IF(W10&gt;=80,"B",IF(W10&gt;=70,"C",IF(W10&gt;=60,"D","F")))),"")</f>
        <v>A</v>
      </c>
      <c r="Y10" s="10">
        <f>IF(W10&lt;&gt;"",IF(X10="A",Z10,IF(X10="B",Z10-1,IF(X10="C",Z10-2,IF(X10="D",Z10-3,IF(X10="F",0))))),"")</f>
        <v>4</v>
      </c>
      <c r="Z10" s="11">
        <v>4</v>
      </c>
      <c r="AA10" s="5"/>
      <c r="AB10" s="9" t="str">
        <f t="shared" si="2"/>
        <v/>
      </c>
      <c r="AC10" s="10" t="str">
        <f>IF(AA10&lt;&gt;"",IF(AB10="A",AD10,IF(AB10="B",AD10-1,IF(AB10="C",AD10-2,IF(AB10="D",AD10-3,IF(AB10="F",0))))),"")</f>
        <v/>
      </c>
      <c r="AD10" s="11"/>
      <c r="AE10" s="5"/>
      <c r="AF10" s="9" t="str">
        <f t="shared" si="2"/>
        <v/>
      </c>
      <c r="AG10" s="10" t="str">
        <f>IF(AE10&lt;&gt;"",IF(AF10="A",AH10,IF(AF10="B",AH10-1,IF(AF10="C",AH10-2,IF(AF10="D",AH10-3,IF(AF10="F",0))))),"")</f>
        <v/>
      </c>
      <c r="AH10" s="11"/>
      <c r="AI10" s="14">
        <f>AVERAGE(C10,G10,K10,O10,S10,W10,AA10,AE10)</f>
        <v>89.833333333333329</v>
      </c>
    </row>
    <row r="11" spans="2:35" ht="20.25" thickTop="1" thickBot="1" x14ac:dyDescent="0.35">
      <c r="B11" s="12" t="s">
        <v>5</v>
      </c>
      <c r="C11" s="6">
        <v>90</v>
      </c>
      <c r="D11" s="9" t="str">
        <f t="shared" si="0"/>
        <v>A</v>
      </c>
      <c r="E11" s="10">
        <f t="shared" ref="E11:E14" si="3">IF(C11&lt;&gt;"",IF(D11="A",F11,IF(D11="B",F11-1,IF(D11="C",F11-2,IF(D11="D",F11-3,IF(D11="F",0))))),"")</f>
        <v>4</v>
      </c>
      <c r="F11" s="11">
        <v>4</v>
      </c>
      <c r="G11" s="6"/>
      <c r="H11" s="9" t="str">
        <f t="shared" si="1"/>
        <v/>
      </c>
      <c r="I11" s="10" t="str">
        <f t="shared" ref="I11:I14" si="4">IF(G11&lt;&gt;"",IF(H11="A",J11,IF(H11="B",J11-1,IF(H11="C",J11-2,IF(H11="D",J11-3,IF(H11="F",0))))),"")</f>
        <v/>
      </c>
      <c r="J11" s="11"/>
      <c r="K11" s="6">
        <v>90</v>
      </c>
      <c r="L11" s="9" t="str">
        <f t="shared" si="1"/>
        <v>A</v>
      </c>
      <c r="M11" s="10">
        <f t="shared" ref="M11:M14" si="5">IF(K11&lt;&gt;"",IF(L11="A",N11,IF(L11="B",N11-1,IF(L11="C",N11-2,IF(L11="D",N11-3,IF(L11="F",0))))),"")</f>
        <v>4</v>
      </c>
      <c r="N11" s="11">
        <v>4</v>
      </c>
      <c r="O11" s="6">
        <v>86</v>
      </c>
      <c r="P11" s="9" t="str">
        <f t="shared" si="1"/>
        <v>B</v>
      </c>
      <c r="Q11" s="10">
        <f t="shared" ref="Q11:Q14" si="6">IF(O11&lt;&gt;"",IF(P11="A",R11,IF(P11="B",R11-1,IF(P11="C",R11-2,IF(P11="D",R11-3,IF(P11="F",0))))),"")</f>
        <v>3</v>
      </c>
      <c r="R11" s="11">
        <v>4</v>
      </c>
      <c r="S11" s="6">
        <v>86</v>
      </c>
      <c r="T11" s="9" t="str">
        <f t="shared" si="1"/>
        <v>B</v>
      </c>
      <c r="U11" s="10">
        <f t="shared" ref="U11:U14" si="7">IF(S11&lt;&gt;"",IF(T11="A",V11,IF(T11="B",V11-1,IF(T11="C",V11-2,IF(T11="D",V11-3,IF(T11="F",0))))),"")</f>
        <v>3</v>
      </c>
      <c r="V11" s="11">
        <v>4</v>
      </c>
      <c r="W11" s="6">
        <v>96</v>
      </c>
      <c r="X11" s="9" t="str">
        <f t="shared" si="2"/>
        <v>A</v>
      </c>
      <c r="Y11" s="10">
        <f t="shared" ref="Y11:Y14" si="8">IF(W11&lt;&gt;"",IF(X11="A",Z11,IF(X11="B",Z11-1,IF(X11="C",Z11-2,IF(X11="D",Z11-3,IF(X11="F",0))))),"")</f>
        <v>4</v>
      </c>
      <c r="Z11" s="11">
        <v>4</v>
      </c>
      <c r="AA11" s="6"/>
      <c r="AB11" s="9" t="str">
        <f t="shared" si="2"/>
        <v/>
      </c>
      <c r="AC11" s="10" t="str">
        <f t="shared" ref="AC11:AC14" si="9">IF(AA11&lt;&gt;"",IF(AB11="A",AD11,IF(AB11="B",AD11-1,IF(AB11="C",AD11-2,IF(AB11="D",AD11-3,IF(AB11="F",0))))),"")</f>
        <v/>
      </c>
      <c r="AD11" s="11"/>
      <c r="AE11" s="6"/>
      <c r="AF11" s="9" t="str">
        <f t="shared" si="2"/>
        <v/>
      </c>
      <c r="AG11" s="10" t="str">
        <f t="shared" ref="AG11:AG14" si="10">IF(AE11&lt;&gt;"",IF(AF11="A",AH11,IF(AF11="B",AH11-1,IF(AF11="C",AH11-2,IF(AF11="D",AH11-3,IF(AF11="F",0))))),"")</f>
        <v/>
      </c>
      <c r="AH11" s="11"/>
      <c r="AI11" s="15">
        <f>AVERAGE(C11,G11,K11,O11,S11,W11,AA11,AE11)</f>
        <v>89.6</v>
      </c>
    </row>
    <row r="12" spans="2:35" ht="20.25" thickTop="1" thickBot="1" x14ac:dyDescent="0.35">
      <c r="B12" s="13" t="s">
        <v>37</v>
      </c>
      <c r="C12" s="5">
        <v>87</v>
      </c>
      <c r="D12" s="9" t="str">
        <f t="shared" si="0"/>
        <v>B</v>
      </c>
      <c r="E12" s="10">
        <f t="shared" si="3"/>
        <v>3</v>
      </c>
      <c r="F12" s="11">
        <v>4</v>
      </c>
      <c r="G12" s="5">
        <v>88</v>
      </c>
      <c r="H12" s="9" t="str">
        <f t="shared" si="1"/>
        <v>B</v>
      </c>
      <c r="I12" s="10">
        <f t="shared" si="4"/>
        <v>3</v>
      </c>
      <c r="J12" s="11">
        <v>4</v>
      </c>
      <c r="K12" s="5">
        <v>83</v>
      </c>
      <c r="L12" s="9" t="str">
        <f t="shared" si="1"/>
        <v>B</v>
      </c>
      <c r="M12" s="10">
        <f t="shared" si="5"/>
        <v>3</v>
      </c>
      <c r="N12" s="11">
        <v>4</v>
      </c>
      <c r="O12" s="5">
        <v>91</v>
      </c>
      <c r="P12" s="9" t="str">
        <f t="shared" si="1"/>
        <v>A</v>
      </c>
      <c r="Q12" s="10">
        <f t="shared" si="6"/>
        <v>4</v>
      </c>
      <c r="R12" s="11">
        <v>4</v>
      </c>
      <c r="S12" s="5">
        <v>85</v>
      </c>
      <c r="T12" s="9" t="str">
        <f t="shared" si="1"/>
        <v>B</v>
      </c>
      <c r="U12" s="10">
        <f t="shared" si="7"/>
        <v>3</v>
      </c>
      <c r="V12" s="11">
        <v>4</v>
      </c>
      <c r="W12" s="5">
        <v>92</v>
      </c>
      <c r="X12" s="9" t="str">
        <f t="shared" si="2"/>
        <v>A</v>
      </c>
      <c r="Y12" s="10">
        <f t="shared" si="8"/>
        <v>4</v>
      </c>
      <c r="Z12" s="11">
        <v>4</v>
      </c>
      <c r="AA12" s="5"/>
      <c r="AB12" s="9" t="str">
        <f t="shared" si="2"/>
        <v/>
      </c>
      <c r="AC12" s="10" t="str">
        <f t="shared" si="9"/>
        <v/>
      </c>
      <c r="AD12" s="11"/>
      <c r="AE12" s="5"/>
      <c r="AF12" s="9" t="str">
        <f t="shared" si="2"/>
        <v/>
      </c>
      <c r="AG12" s="10" t="str">
        <f t="shared" si="10"/>
        <v/>
      </c>
      <c r="AH12" s="11"/>
      <c r="AI12" s="15">
        <f t="shared" ref="AI12:AI13" si="11">AVERAGE(C12,G12,K12,O12,S12,W12,AA12,AE12)</f>
        <v>87.666666666666671</v>
      </c>
    </row>
    <row r="13" spans="2:35" ht="20.25" thickTop="1" thickBot="1" x14ac:dyDescent="0.35">
      <c r="B13" s="12" t="s">
        <v>6</v>
      </c>
      <c r="C13" s="6">
        <v>87</v>
      </c>
      <c r="D13" s="9" t="str">
        <f t="shared" si="0"/>
        <v>B</v>
      </c>
      <c r="E13" s="10">
        <f t="shared" si="3"/>
        <v>3</v>
      </c>
      <c r="F13" s="11">
        <v>4</v>
      </c>
      <c r="G13" s="6">
        <v>84</v>
      </c>
      <c r="H13" s="9" t="str">
        <f t="shared" si="1"/>
        <v>B</v>
      </c>
      <c r="I13" s="10">
        <f t="shared" si="4"/>
        <v>3</v>
      </c>
      <c r="J13" s="11">
        <v>4</v>
      </c>
      <c r="K13" s="6">
        <v>85</v>
      </c>
      <c r="L13" s="9" t="str">
        <f t="shared" si="1"/>
        <v>B</v>
      </c>
      <c r="M13" s="10">
        <f t="shared" si="5"/>
        <v>3</v>
      </c>
      <c r="N13" s="11">
        <v>4</v>
      </c>
      <c r="O13" s="6">
        <v>77</v>
      </c>
      <c r="P13" s="9" t="str">
        <f t="shared" si="1"/>
        <v>C</v>
      </c>
      <c r="Q13" s="10">
        <f t="shared" si="6"/>
        <v>2</v>
      </c>
      <c r="R13" s="11">
        <v>4</v>
      </c>
      <c r="S13" s="6">
        <v>90</v>
      </c>
      <c r="T13" s="9" t="str">
        <f t="shared" si="1"/>
        <v>A</v>
      </c>
      <c r="U13" s="10">
        <f t="shared" si="7"/>
        <v>5</v>
      </c>
      <c r="V13" s="11">
        <v>5</v>
      </c>
      <c r="W13" s="6">
        <v>92</v>
      </c>
      <c r="X13" s="9" t="str">
        <f t="shared" si="2"/>
        <v>A</v>
      </c>
      <c r="Y13" s="10">
        <f t="shared" si="8"/>
        <v>5</v>
      </c>
      <c r="Z13" s="11">
        <v>5</v>
      </c>
      <c r="AA13" s="6"/>
      <c r="AB13" s="9" t="str">
        <f t="shared" si="2"/>
        <v/>
      </c>
      <c r="AC13" s="10" t="str">
        <f t="shared" si="9"/>
        <v/>
      </c>
      <c r="AD13" s="11"/>
      <c r="AE13" s="6"/>
      <c r="AF13" s="9" t="str">
        <f t="shared" si="2"/>
        <v/>
      </c>
      <c r="AG13" s="10" t="str">
        <f t="shared" si="10"/>
        <v/>
      </c>
      <c r="AH13" s="11"/>
      <c r="AI13" s="15">
        <f t="shared" si="11"/>
        <v>85.833333333333329</v>
      </c>
    </row>
    <row r="14" spans="2:35" ht="20.25" thickTop="1" thickBot="1" x14ac:dyDescent="0.35">
      <c r="B14" s="12" t="s">
        <v>19</v>
      </c>
      <c r="C14" s="6"/>
      <c r="D14" s="9" t="str">
        <f t="shared" si="0"/>
        <v/>
      </c>
      <c r="E14" s="10" t="str">
        <f t="shared" si="3"/>
        <v/>
      </c>
      <c r="F14" s="11"/>
      <c r="G14" s="6"/>
      <c r="H14" s="9" t="str">
        <f t="shared" si="1"/>
        <v/>
      </c>
      <c r="I14" s="10" t="str">
        <f t="shared" si="4"/>
        <v/>
      </c>
      <c r="J14" s="11"/>
      <c r="K14" s="6"/>
      <c r="L14" s="9" t="str">
        <f t="shared" si="1"/>
        <v/>
      </c>
      <c r="M14" s="10" t="str">
        <f t="shared" si="5"/>
        <v/>
      </c>
      <c r="N14" s="11"/>
      <c r="O14" s="6"/>
      <c r="P14" s="9" t="str">
        <f t="shared" si="1"/>
        <v/>
      </c>
      <c r="Q14" s="10" t="str">
        <f t="shared" si="6"/>
        <v/>
      </c>
      <c r="R14" s="11"/>
      <c r="S14" s="6">
        <f>S12</f>
        <v>85</v>
      </c>
      <c r="T14" s="9" t="str">
        <f t="shared" si="1"/>
        <v>B</v>
      </c>
      <c r="U14" s="10">
        <f t="shared" si="7"/>
        <v>3</v>
      </c>
      <c r="V14" s="11">
        <v>4</v>
      </c>
      <c r="W14" s="6">
        <f>W12</f>
        <v>92</v>
      </c>
      <c r="X14" s="9" t="str">
        <f t="shared" si="2"/>
        <v>A</v>
      </c>
      <c r="Y14" s="10">
        <f t="shared" si="8"/>
        <v>4</v>
      </c>
      <c r="Z14" s="11">
        <v>4</v>
      </c>
      <c r="AA14" s="6"/>
      <c r="AB14" s="9" t="str">
        <f t="shared" si="2"/>
        <v/>
      </c>
      <c r="AC14" s="10" t="str">
        <f t="shared" si="9"/>
        <v/>
      </c>
      <c r="AD14" s="11"/>
      <c r="AE14" s="6"/>
      <c r="AF14" s="9" t="str">
        <f t="shared" si="2"/>
        <v/>
      </c>
      <c r="AG14" s="10" t="str">
        <f t="shared" si="10"/>
        <v/>
      </c>
      <c r="AH14" s="11"/>
      <c r="AI14" s="16"/>
    </row>
    <row r="15" spans="2:35" ht="15.75" thickTop="1" x14ac:dyDescent="0.25"/>
    <row r="16" spans="2:35" x14ac:dyDescent="0.25">
      <c r="B16" s="28" t="s">
        <v>38</v>
      </c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</row>
    <row r="17" spans="2:35" x14ac:dyDescent="0.25"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</row>
    <row r="18" spans="2:35" x14ac:dyDescent="0.25"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</row>
  </sheetData>
  <sheetProtection algorithmName="SHA-512" hashValue="7K1WoE1XfdFR12DbVGHtzbkwee51+AwvrY5Xj+WgWqy4CtlkgeKWFs5Q3+uWS0/3NwuZGLnFrCA8fMJTqxPwHQ==" saltValue="oVqr7jm5sA7SwPp8OSI49A==" spinCount="100000" sheet="1" objects="1" scenarios="1"/>
  <mergeCells count="14">
    <mergeCell ref="AA8:AD8"/>
    <mergeCell ref="AE8:AH8"/>
    <mergeCell ref="B2:AI5"/>
    <mergeCell ref="B16:AI18"/>
    <mergeCell ref="C7:J7"/>
    <mergeCell ref="K7:R7"/>
    <mergeCell ref="S7:Z7"/>
    <mergeCell ref="AA7:AH7"/>
    <mergeCell ref="C8:F8"/>
    <mergeCell ref="G8:J8"/>
    <mergeCell ref="K8:N8"/>
    <mergeCell ref="O8:R8"/>
    <mergeCell ref="S8:V8"/>
    <mergeCell ref="W8:Z8"/>
  </mergeCells>
  <conditionalFormatting sqref="D10:D13 H10:H13 L10:L13 P10:P13 T10:T13 X10:X13 AB10:AB13 AF10:AF13">
    <cfRule type="containsBlanks" dxfId="5" priority="5">
      <formula>LEN(TRIM(D10))=0</formula>
    </cfRule>
  </conditionalFormatting>
  <conditionalFormatting sqref="B9:AI13">
    <cfRule type="containsBlanks" dxfId="4" priority="7">
      <formula>LEN(TRIM(B9))=0</formula>
    </cfRule>
  </conditionalFormatting>
  <conditionalFormatting sqref="AI10:AI1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{B60EECFC-3804-4824-A661-6CA2F86E93A1}</x14:id>
        </ext>
      </extLst>
    </cfRule>
  </conditionalFormatting>
  <conditionalFormatting sqref="D14 H14 L14 P14 T14 X14 AB14 AF14">
    <cfRule type="containsBlanks" dxfId="3" priority="3">
      <formula>LEN(TRIM(D14))=0</formula>
    </cfRule>
  </conditionalFormatting>
  <conditionalFormatting sqref="B14:AH14">
    <cfRule type="containsBlanks" dxfId="2" priority="4">
      <formula>LEN(TRIM(B14))=0</formula>
    </cfRule>
  </conditionalFormatting>
  <conditionalFormatting sqref="AI14">
    <cfRule type="containsBlanks" dxfId="1" priority="2">
      <formula>LEN(TRIM(AI14))=0</formula>
    </cfRule>
  </conditionalFormatting>
  <conditionalFormatting sqref="AI14">
    <cfRule type="containsBlanks" dxfId="0" priority="1">
      <formula>LEN(TRIM(AI14))=0</formula>
    </cfRule>
  </conditionalFormatting>
  <dataValidations count="20">
    <dataValidation allowBlank="1" showInputMessage="1" showErrorMessage="1" promptTitle="Class Entry" prompt="_x000a_These are the class types that you are taking. Not the exact class, but the field that It would fall into._x000a__x000a_For example, you may have a row titled &quot;Math&quot;. You would put your 9th,10th,11th, and 12th grade math classes in the data entry slots." sqref="B9" xr:uid="{C1C804B2-7A2A-4A81-BA92-F7FFC552C89A}"/>
    <dataValidation allowBlank="1" showInputMessage="1" showErrorMessage="1" promptTitle="Semester" prompt="_x000a_The cells below this one all reference the first semester of your freshman year._x000a__x000a_9=Freshman_x000a_1=First Semester" sqref="G8:AH8" xr:uid="{94E8445F-6C2D-4545-BA29-185A749E2E99}"/>
    <dataValidation allowBlank="1" showInputMessage="1" showErrorMessage="1" promptTitle="Grade Weight" prompt="_x000a_This helps calculate your weighted GPA. _x000a__x000a_Most classes are on a 4-point scale, so for those classes, you would enter &quot;4&quot;. Some classes may be worth 5 points, so you would enter a &quot;5&quot;." sqref="F9 J9 N9 R9 V9 Z9 AD9 AH9" xr:uid="{17BEDE5D-BF51-4ACD-A8C7-B5B980A7DAA8}"/>
    <dataValidation allowBlank="1" showInputMessage="1" showErrorMessage="1" promptTitle="Letter Grade" prompt="_x000a_This outputs your grade as a letter." sqref="D9 H9 L9 P9 T9 X9 AB9 AF9" xr:uid="{D2537CA8-F7E1-46EE-9676-55E25D980DD3}"/>
    <dataValidation allowBlank="1" showInputMessage="1" showErrorMessage="1" promptTitle="Class Grades" prompt="_x000a_This is where you put you class grades to be calculated._x000a__x000a_if you recieved an 86% in a class, format it as &quot;86&quot;, and NOT &quot;86%&quot; or &quot;0.86&quot;" sqref="C9 G9 K9 O9 S9 W9 AA9 AE9" xr:uid="{3995FB04-11C9-4364-80B8-7CD29E09E437}"/>
    <dataValidation allowBlank="1" showInputMessage="1" showErrorMessage="1" promptTitle="Math class" prompt="_x000a_Data to the right represents my math classes for that year. That includes Math I, II, and II, but could also reference classes like Calc, Math in modern Society, etc_x000a_" sqref="B10" xr:uid="{98CDE954-87F4-47FA-B3BC-FC641BE8E4E3}"/>
    <dataValidation allowBlank="1" showInputMessage="1" showErrorMessage="1" promptTitle="Social Studies" prompt="_x000a_Data to the right of this cell represents all social study classes. That includes classes like World Geography, History, and classes like that" sqref="B11" xr:uid="{D25AFABA-FB0B-4A54-B250-9381EC6B844F}"/>
    <dataValidation allowBlank="1" showInputMessage="1" showErrorMessage="1" promptTitle="Computer Science" prompt="_x000a_Data to the right of this cell represents classes in the computer Science Field. Classes may include: Exploring Computer Science, Computer Science Principles, Web Design, Computer Apps, Etc." sqref="B12" xr:uid="{DBD5B336-FA33-45B6-8668-C8033A7D566A}"/>
    <dataValidation allowBlank="1" showInputMessage="1" showErrorMessage="1" promptTitle="Science" prompt="_x000a_Data to the right of this cell represents general, or core, science classes, such as Earth Science, Chemistry, Physics, Environmental Science, Etc." sqref="B13" xr:uid="{8CA29E9D-1656-4874-9260-205A54C00761}"/>
    <dataValidation allowBlank="1" showInputMessage="1" showErrorMessage="1" promptTitle="Grades" prompt="_x000a_These are the grades given for the given class (leftmost column), for the given semester (8th row)." sqref="C10:C13 G10 G12:G13 K10:K13 O10:O13 S10:S13 W10:W13" xr:uid="{3C48CDF9-23CB-4DAC-8AFF-2929DEFF7546}"/>
    <dataValidation allowBlank="1" showInputMessage="1" showErrorMessage="1" promptTitle="Letter Grades" prompt="_x000a_These letters correspond to the cell directly to their left, displaying the appropriate letter grade for the number grade." sqref="D10:D13 H10 H12:H13 L10:L13 P10:P13 T10:T13 X10:X13" xr:uid="{E3D24804-A2DB-4723-B6AD-4DF066BD711A}"/>
    <dataValidation allowBlank="1" showInputMessage="1" showErrorMessage="1" promptTitle="Empty Cells" prompt="_x000a_These cells are empty, due to the school year not having been taken yet. Blank cells are fine, and will not throw off calculations." sqref="AA10:AH14" xr:uid="{9972612F-D1FE-40A7-97DF-9F7E5F610F95}"/>
    <dataValidation allowBlank="1" showInputMessage="1" showErrorMessage="1" promptTitle="Blank Cells" prompt="_x000a_These cells are blank, showing that a Social Studies class was not taken in this semester. Blank spots may show up while entering data, there is no reason to worry._x000a__x000a_Blank cells will not throw off the calculations." sqref="G11:J11 C14:R14" xr:uid="{381A655D-7886-4E35-BEEE-201EEF152B34}"/>
    <dataValidation allowBlank="1" showInputMessage="1" showErrorMessage="1" promptTitle="Grade Weight" prompt="These grades' weights are all &quot;4&quot;, meaning that these classes are on a 4-point scale. See cell V13 or Z13 for more information." sqref="F10:F13 J10 J12:J13 N10:N13 R10:R13 V10:V12 Z10:Z12" xr:uid="{539E9405-6707-44E8-877E-2A98F97ECD4B}"/>
    <dataValidation allowBlank="1" showInputMessage="1" showErrorMessage="1" promptTitle="5-point weight" prompt="_x000a_These classes are on a 5-point scale, meaning their they boost the weighted GPA." sqref="Z13 V13" xr:uid="{E0DDB6C3-2A16-441E-96F6-309BE96AE864}"/>
    <dataValidation allowBlank="1" showInputMessage="1" showErrorMessage="1" promptTitle="Class Averages" prompt="_x000a_These indicate the average score for a given class type, based on class scores." sqref="AI10:AI13" xr:uid="{FA09F95F-728D-435F-8DE2-BD4946E7A7F1}"/>
    <dataValidation allowBlank="1" showInputMessage="1" showErrorMessage="1" promptTitle="Semester" prompt="_x000a_These cells indicate which semester is being referenced below._x000a__x000a_9=Freshman_x000a_1=First Semester_x000a__x000a_11=Junior_x000a_2=Second Semester" sqref="C8:F8" xr:uid="{D1179FCD-2D86-4BA9-94B2-226940278632}"/>
    <dataValidation allowBlank="1" showInputMessage="1" showErrorMessage="1" promptTitle="Grade Level" prompt="_x000a_These cells indicate the Grade Level. All cells below them pertain to this grade level." sqref="C7:AH7" xr:uid="{9F5030A4-EE68-4702-9906-A2CA4763122E}"/>
    <dataValidation allowBlank="1" showInputMessage="1" showErrorMessage="1" promptTitle="Double Credits" prompt="_x000a_These rows are for classes that are worth two credits. The table cannot handle a property to count a cell twice, so the data must simply be re-entered as a duplicate." sqref="B14" xr:uid="{653F2B96-54AC-4F2A-90A6-8B0FDC0B5B1C}"/>
    <dataValidation allowBlank="1" showInputMessage="1" showErrorMessage="1" promptTitle="Entried for Double Credit" prompt="_x000a_These cells reference the computer science scores, implying that the computer science class was worth double credits." sqref="S14:Z14" xr:uid="{10524D91-8B0B-4434-80EF-D73486247E4E}"/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60EECFC-3804-4824-A661-6CA2F86E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AI10:AI13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Grades</vt:lpstr>
      <vt:lpstr>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Micah Gomez</dc:creator>
  <cp:lastModifiedBy>Micah Gomez</cp:lastModifiedBy>
  <cp:lastPrinted>2018-04-27T04:22:25Z</cp:lastPrinted>
  <dcterms:created xsi:type="dcterms:W3CDTF">2018-04-26T02:26:04Z</dcterms:created>
  <dcterms:modified xsi:type="dcterms:W3CDTF">2018-04-27T04:32:43Z</dcterms:modified>
</cp:coreProperties>
</file>