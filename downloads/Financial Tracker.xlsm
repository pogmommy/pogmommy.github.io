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E48B8BA9-D056-41A4-B4AC-E76295687611}" xr6:coauthVersionLast="36" xr6:coauthVersionMax="40" xr10:uidLastSave="{00000000-0000-0000-0000-000000000000}"/>
  <workbookProtection workbookAlgorithmName="SHA-512" workbookHashValue="DGJewkm2+1MSF+1PC957xqJje7GaeSxvhSJesEigHvrKfHvlEVaxhFL5epvkpmEe2Ip3E+dsmrzeIQAmxuNZqA==" workbookSaltValue="Jr92AHaKMBWkBxDhkMfa4Q==" workbookSpinCount="100000" lockStructure="1"/>
  <bookViews>
    <workbookView xWindow="975" yWindow="465" windowWidth="28800" windowHeight="16155" tabRatio="677" xr2:uid="{00000000-000D-0000-FFFF-FFFF00000000}"/>
  </bookViews>
  <sheets>
    <sheet name="Checking Status" sheetId="1" r:id="rId1"/>
    <sheet name="Budget" sheetId="8" r:id="rId2"/>
    <sheet name="Clocked Hours" sheetId="2" r:id="rId3"/>
    <sheet name="Paycheck" sheetId="3" r:id="rId4"/>
    <sheet name="Financing" sheetId="4" r:id="rId5"/>
    <sheet name="Graph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FA6" i="4"/>
  <c r="EX6" i="4"/>
  <c r="EU6" i="4"/>
  <c r="ER6" i="4"/>
  <c r="EN6" i="4"/>
  <c r="EK6" i="4"/>
  <c r="EH6" i="4"/>
  <c r="EE6" i="4"/>
  <c r="EA6" i="4"/>
  <c r="DX6" i="4"/>
  <c r="DU6" i="4"/>
  <c r="DR6" i="4"/>
  <c r="DN6" i="4"/>
  <c r="DK6" i="4"/>
  <c r="DH6" i="4"/>
  <c r="DE6" i="4"/>
  <c r="DA6" i="4"/>
  <c r="CX6" i="4"/>
  <c r="CU6" i="4"/>
  <c r="CR6" i="4"/>
  <c r="CN6" i="4"/>
  <c r="CK6" i="4"/>
  <c r="CH6" i="4"/>
  <c r="CE6" i="4"/>
  <c r="CA6" i="4"/>
  <c r="BX6" i="4"/>
  <c r="BU6" i="4"/>
  <c r="BR6" i="4"/>
  <c r="BN6" i="4"/>
  <c r="BK6" i="4"/>
  <c r="BH6" i="4"/>
  <c r="BE6" i="4"/>
  <c r="BA6" i="4"/>
  <c r="AX6" i="4"/>
  <c r="AU6" i="4"/>
  <c r="AR6" i="4"/>
  <c r="AN6" i="4"/>
  <c r="AK6" i="4"/>
  <c r="AH6" i="4"/>
  <c r="AE6" i="4"/>
  <c r="R6" i="4"/>
  <c r="U6" i="4"/>
  <c r="AA6" i="4"/>
  <c r="X6" i="4"/>
  <c r="CD38" i="1" l="1"/>
  <c r="BW38" i="1"/>
  <c r="BP38" i="1"/>
  <c r="BI38" i="1"/>
  <c r="BB38" i="1"/>
  <c r="AU38" i="1"/>
  <c r="AN38" i="1"/>
  <c r="AG38" i="1"/>
  <c r="Z38" i="1"/>
  <c r="S38" i="1"/>
  <c r="E38" i="1"/>
  <c r="F17" i="1"/>
  <c r="F38" i="1" l="1"/>
  <c r="E8" i="3"/>
  <c r="FA6" i="3" l="1"/>
  <c r="FA9" i="3" s="1"/>
  <c r="AA13" i="8"/>
  <c r="AF13" i="8"/>
  <c r="AK13" i="8"/>
  <c r="AP13" i="8"/>
  <c r="AU13" i="8"/>
  <c r="AZ13" i="8"/>
  <c r="BE13" i="8"/>
  <c r="BJ13" i="8"/>
  <c r="AA18" i="8"/>
  <c r="AF18" i="8"/>
  <c r="AK18" i="8"/>
  <c r="AP18" i="8"/>
  <c r="AU18" i="8"/>
  <c r="AZ18" i="8"/>
  <c r="BE18" i="8"/>
  <c r="BJ18" i="8"/>
  <c r="AA22" i="8"/>
  <c r="AF22" i="8"/>
  <c r="AK22" i="8"/>
  <c r="AP22" i="8"/>
  <c r="AU22" i="8"/>
  <c r="AZ22" i="8"/>
  <c r="BE22" i="8"/>
  <c r="BJ22" i="8"/>
  <c r="AA29" i="8"/>
  <c r="AF29" i="8"/>
  <c r="AK29" i="8"/>
  <c r="AP29" i="8"/>
  <c r="AU29" i="8"/>
  <c r="AZ29" i="8"/>
  <c r="BE29" i="8"/>
  <c r="BJ29" i="8"/>
  <c r="AA39" i="8"/>
  <c r="AF39" i="8"/>
  <c r="AK39" i="8"/>
  <c r="AP39" i="8"/>
  <c r="AU39" i="8"/>
  <c r="AZ39" i="8"/>
  <c r="BE39" i="8"/>
  <c r="BJ39" i="8"/>
  <c r="AA46" i="8"/>
  <c r="AF46" i="8"/>
  <c r="AK46" i="8"/>
  <c r="AP46" i="8"/>
  <c r="AU46" i="8"/>
  <c r="AZ46" i="8"/>
  <c r="BE46" i="8"/>
  <c r="BJ46" i="8"/>
  <c r="AA51" i="8"/>
  <c r="AF51" i="8"/>
  <c r="AK51" i="8"/>
  <c r="AP51" i="8"/>
  <c r="AU51" i="8"/>
  <c r="AZ51" i="8"/>
  <c r="BE51" i="8"/>
  <c r="BJ51" i="8"/>
  <c r="L13" i="8"/>
  <c r="Q13" i="8"/>
  <c r="V13" i="8"/>
  <c r="L18" i="8"/>
  <c r="Q18" i="8"/>
  <c r="V18" i="8"/>
  <c r="L22" i="8"/>
  <c r="Q22" i="8"/>
  <c r="V22" i="8"/>
  <c r="L29" i="8"/>
  <c r="Q29" i="8"/>
  <c r="V29" i="8"/>
  <c r="L39" i="8"/>
  <c r="Q39" i="8"/>
  <c r="V39" i="8"/>
  <c r="L46" i="8"/>
  <c r="Q46" i="8"/>
  <c r="V46" i="8"/>
  <c r="L51" i="8"/>
  <c r="Q51" i="8"/>
  <c r="V51" i="8"/>
  <c r="BE14" i="4"/>
  <c r="BH14" i="4"/>
  <c r="BK14" i="4"/>
  <c r="BN14" i="4"/>
  <c r="BR14" i="4"/>
  <c r="BU14" i="4"/>
  <c r="BX14" i="4"/>
  <c r="CA14" i="4"/>
  <c r="CE14" i="4"/>
  <c r="CH14" i="4"/>
  <c r="CK14" i="4"/>
  <c r="CN14" i="4"/>
  <c r="CR14" i="4"/>
  <c r="CU14" i="4"/>
  <c r="CX14" i="4"/>
  <c r="DA14" i="4"/>
  <c r="DE14" i="4"/>
  <c r="DH14" i="4"/>
  <c r="DK14" i="4"/>
  <c r="DN14" i="4"/>
  <c r="DR14" i="4"/>
  <c r="DU14" i="4"/>
  <c r="DX14" i="4"/>
  <c r="EA14" i="4"/>
  <c r="EE14" i="4"/>
  <c r="EH14" i="4"/>
  <c r="EK14" i="4"/>
  <c r="EN14" i="4"/>
  <c r="ER14" i="4"/>
  <c r="EU14" i="4"/>
  <c r="EX14" i="4"/>
  <c r="FA14" i="4"/>
  <c r="R14" i="4"/>
  <c r="U14" i="4"/>
  <c r="X14" i="4"/>
  <c r="AA14" i="4"/>
  <c r="AE14" i="4"/>
  <c r="AH14" i="4"/>
  <c r="AK14" i="4"/>
  <c r="AN14" i="4"/>
  <c r="AR14" i="4"/>
  <c r="AU14" i="4"/>
  <c r="AX14" i="4"/>
  <c r="BA14" i="4"/>
  <c r="N14" i="4" l="1"/>
  <c r="K14" i="4"/>
  <c r="H14" i="4"/>
  <c r="E14" i="4"/>
  <c r="CE6" i="3" l="1"/>
  <c r="CE9" i="3" s="1"/>
  <c r="CH6" i="3"/>
  <c r="CH9" i="3" s="1"/>
  <c r="CK6" i="3"/>
  <c r="CK9" i="3" s="1"/>
  <c r="CN6" i="3"/>
  <c r="CN9" i="3" s="1"/>
  <c r="CR6" i="3"/>
  <c r="CR9" i="3" s="1"/>
  <c r="CU6" i="3"/>
  <c r="CU9" i="3" s="1"/>
  <c r="CX6" i="3"/>
  <c r="CX9" i="3" s="1"/>
  <c r="DA6" i="3"/>
  <c r="DA9" i="3" s="1"/>
  <c r="DE6" i="3"/>
  <c r="DE9" i="3" s="1"/>
  <c r="DH6" i="3"/>
  <c r="DH9" i="3" s="1"/>
  <c r="DK6" i="3"/>
  <c r="DK9" i="3" s="1"/>
  <c r="DN6" i="3"/>
  <c r="DN9" i="3" s="1"/>
  <c r="DN5" i="4" s="1"/>
  <c r="DR6" i="3"/>
  <c r="DR9" i="3" s="1"/>
  <c r="DU6" i="3"/>
  <c r="DU9" i="3" s="1"/>
  <c r="DU5" i="4" s="1"/>
  <c r="DX6" i="3"/>
  <c r="DX9" i="3" s="1"/>
  <c r="EA6" i="3"/>
  <c r="EA9" i="3" s="1"/>
  <c r="EA5" i="4" s="1"/>
  <c r="EE6" i="3"/>
  <c r="EE9" i="3" s="1"/>
  <c r="EH6" i="3"/>
  <c r="EH9" i="3" s="1"/>
  <c r="EK6" i="3"/>
  <c r="EK9" i="3" s="1"/>
  <c r="EN6" i="3"/>
  <c r="EN9" i="3" s="1"/>
  <c r="EN5" i="4" s="1"/>
  <c r="ER6" i="3"/>
  <c r="EU6" i="3"/>
  <c r="EX6" i="3"/>
  <c r="FA5" i="4"/>
  <c r="CE5" i="4"/>
  <c r="CH5" i="4"/>
  <c r="CK5" i="4"/>
  <c r="CN5" i="4"/>
  <c r="CR5" i="4"/>
  <c r="CU5" i="4"/>
  <c r="CX5" i="4"/>
  <c r="DA5" i="4"/>
  <c r="DE5" i="4"/>
  <c r="DH5" i="4"/>
  <c r="DK5" i="4"/>
  <c r="DR5" i="4"/>
  <c r="DX5" i="4"/>
  <c r="EE5" i="4"/>
  <c r="EH5" i="4"/>
  <c r="EK5" i="4"/>
  <c r="AE6" i="3"/>
  <c r="AE9" i="3" s="1"/>
  <c r="AH6" i="3"/>
  <c r="AK6" i="3"/>
  <c r="AN6" i="3"/>
  <c r="AR6" i="3"/>
  <c r="AU6" i="3"/>
  <c r="AX6" i="3"/>
  <c r="BA6" i="3"/>
  <c r="BA9" i="3" s="1"/>
  <c r="BA5" i="4" s="1"/>
  <c r="BE6" i="3"/>
  <c r="BE9" i="3" s="1"/>
  <c r="BE5" i="4" s="1"/>
  <c r="BH6" i="3"/>
  <c r="BH9" i="3" s="1"/>
  <c r="BK6" i="3"/>
  <c r="BK9" i="3" s="1"/>
  <c r="BN6" i="3"/>
  <c r="BN9" i="3" s="1"/>
  <c r="BN5" i="4" s="1"/>
  <c r="BR6" i="3"/>
  <c r="BR9" i="3" s="1"/>
  <c r="BR5" i="4" s="1"/>
  <c r="BU6" i="3"/>
  <c r="BU9" i="3" s="1"/>
  <c r="BX6" i="3"/>
  <c r="BX9" i="3" s="1"/>
  <c r="BX5" i="4" s="1"/>
  <c r="CA6" i="3"/>
  <c r="CA9" i="3" s="1"/>
  <c r="CA5" i="4" s="1"/>
  <c r="AE5" i="4"/>
  <c r="BH5" i="4"/>
  <c r="BK5" i="4"/>
  <c r="BU5" i="4"/>
  <c r="R6" i="3"/>
  <c r="U6" i="3"/>
  <c r="X6" i="3"/>
  <c r="X9" i="3" s="1"/>
  <c r="X5" i="4" s="1"/>
  <c r="AA6" i="3"/>
  <c r="N6" i="3"/>
  <c r="N9" i="3" s="1"/>
  <c r="K6" i="3"/>
  <c r="H6" i="3"/>
  <c r="E6" i="3"/>
  <c r="E9" i="3" s="1"/>
  <c r="B402" i="1"/>
  <c r="B403" i="1"/>
  <c r="B404" i="1"/>
  <c r="B405" i="1"/>
  <c r="B406" i="1"/>
  <c r="B407" i="1"/>
  <c r="B408" i="1"/>
  <c r="B409" i="1"/>
  <c r="B41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38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50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1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289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58" i="1"/>
  <c r="B256" i="1"/>
  <c r="B257" i="1"/>
  <c r="B248" i="1"/>
  <c r="B249" i="1"/>
  <c r="B250" i="1"/>
  <c r="B251" i="1"/>
  <c r="B252" i="1"/>
  <c r="B253" i="1"/>
  <c r="B254" i="1"/>
  <c r="B255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2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197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6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36" i="1"/>
  <c r="CF38" i="1"/>
  <c r="CE38" i="1"/>
  <c r="BY38" i="1"/>
  <c r="BX38" i="1"/>
  <c r="BR38" i="1"/>
  <c r="BQ38" i="1"/>
  <c r="BK38" i="1"/>
  <c r="BJ38" i="1"/>
  <c r="BD38" i="1"/>
  <c r="BC38" i="1"/>
  <c r="AW38" i="1"/>
  <c r="AV38" i="1"/>
  <c r="AP38" i="1"/>
  <c r="AO38" i="1"/>
  <c r="AI38" i="1"/>
  <c r="AH38" i="1"/>
  <c r="AN9" i="3" l="1"/>
  <c r="AN5" i="4" s="1"/>
  <c r="R9" i="3"/>
  <c r="R5" i="4" s="1"/>
  <c r="AX9" i="3"/>
  <c r="AX5" i="4" s="1"/>
  <c r="AK9" i="3"/>
  <c r="AK5" i="4" s="1"/>
  <c r="EX9" i="3"/>
  <c r="EX5" i="4" s="1"/>
  <c r="U9" i="3"/>
  <c r="U5" i="4" s="1"/>
  <c r="AA9" i="3"/>
  <c r="AA5" i="4" s="1"/>
  <c r="AU9" i="3"/>
  <c r="AU5" i="4" s="1"/>
  <c r="AH9" i="3"/>
  <c r="AH5" i="4" s="1"/>
  <c r="EU9" i="3"/>
  <c r="EU5" i="4" s="1"/>
  <c r="AR9" i="3"/>
  <c r="AR5" i="4" s="1"/>
  <c r="ER9" i="3"/>
  <c r="ER5" i="4" s="1"/>
  <c r="H9" i="3"/>
  <c r="K9" i="3"/>
  <c r="K5" i="4" s="1"/>
  <c r="AE7" i="4"/>
  <c r="AE8" i="4" s="1"/>
  <c r="EE7" i="4"/>
  <c r="EE8" i="4" s="1"/>
  <c r="EH7" i="4"/>
  <c r="EH8" i="4" s="1"/>
  <c r="EN7" i="4"/>
  <c r="EN8" i="4" s="1"/>
  <c r="DR7" i="4"/>
  <c r="DR8" i="4" s="1"/>
  <c r="DU7" i="4"/>
  <c r="DU8" i="4" s="1"/>
  <c r="DX7" i="4"/>
  <c r="DX8" i="4" s="1"/>
  <c r="DE7" i="4"/>
  <c r="DE8" i="4" s="1"/>
  <c r="DH7" i="4"/>
  <c r="DH8" i="4" s="1"/>
  <c r="CR7" i="4"/>
  <c r="CR8" i="4" s="1"/>
  <c r="CU7" i="4"/>
  <c r="CU8" i="4" s="1"/>
  <c r="DA7" i="4"/>
  <c r="DA8" i="4" s="1"/>
  <c r="CE7" i="4"/>
  <c r="CE8" i="4" s="1"/>
  <c r="CN7" i="4"/>
  <c r="CN8" i="4" s="1"/>
  <c r="CH7" i="4"/>
  <c r="CH8" i="4" s="1"/>
  <c r="CK7" i="4"/>
  <c r="CK8" i="4" s="1"/>
  <c r="EA7" i="4"/>
  <c r="EA8" i="4" s="1"/>
  <c r="DN7" i="4"/>
  <c r="DN8" i="4" s="1"/>
  <c r="BR7" i="4"/>
  <c r="BR8" i="4" s="1"/>
  <c r="BU7" i="4"/>
  <c r="BU8" i="4" s="1"/>
  <c r="BX7" i="4"/>
  <c r="BX8" i="4" s="1"/>
  <c r="CA7" i="4"/>
  <c r="CA8" i="4" s="1"/>
  <c r="BE7" i="4"/>
  <c r="BE8" i="4" s="1"/>
  <c r="BH7" i="4"/>
  <c r="BH8" i="4" s="1"/>
  <c r="BN7" i="4"/>
  <c r="BN8" i="4" s="1"/>
  <c r="BK7" i="4"/>
  <c r="BK8" i="4" s="1"/>
  <c r="EK7" i="4"/>
  <c r="EK8" i="4" s="1"/>
  <c r="DK7" i="4"/>
  <c r="DK8" i="4" s="1"/>
  <c r="CX7" i="4"/>
  <c r="CX8" i="4" s="1"/>
  <c r="G51" i="8"/>
  <c r="G46" i="8"/>
  <c r="G39" i="8"/>
  <c r="G29" i="8"/>
  <c r="G22" i="8"/>
  <c r="G18" i="8"/>
  <c r="G13" i="8"/>
  <c r="EU7" i="4" l="1"/>
  <c r="EU8" i="4" s="1"/>
  <c r="EU11" i="4" s="1"/>
  <c r="EU12" i="4" s="1"/>
  <c r="EU13" i="4" s="1"/>
  <c r="FA7" i="4"/>
  <c r="FA8" i="4" s="1"/>
  <c r="FA11" i="4" s="1"/>
  <c r="FA12" i="4" s="1"/>
  <c r="FA13" i="4" s="1"/>
  <c r="ER7" i="4"/>
  <c r="ER8" i="4" s="1"/>
  <c r="EX7" i="4"/>
  <c r="EX8" i="4" s="1"/>
  <c r="EX11" i="4" s="1"/>
  <c r="EX12" i="4" s="1"/>
  <c r="EX13" i="4" s="1"/>
  <c r="BA7" i="4"/>
  <c r="BA8" i="4" s="1"/>
  <c r="BA11" i="4" s="1"/>
  <c r="BA12" i="4" s="1"/>
  <c r="BA13" i="4" s="1"/>
  <c r="AX7" i="4"/>
  <c r="AX8" i="4" s="1"/>
  <c r="AX11" i="4" s="1"/>
  <c r="AX12" i="4" s="1"/>
  <c r="AX13" i="4" s="1"/>
  <c r="AU7" i="4"/>
  <c r="AU8" i="4" s="1"/>
  <c r="AU11" i="4" s="1"/>
  <c r="AU12" i="4" s="1"/>
  <c r="AU13" i="4" s="1"/>
  <c r="AR7" i="4"/>
  <c r="AR8" i="4" s="1"/>
  <c r="AR11" i="4" s="1"/>
  <c r="X7" i="4"/>
  <c r="X8" i="4" s="1"/>
  <c r="X11" i="4" s="1"/>
  <c r="X12" i="4" s="1"/>
  <c r="X13" i="4" s="1"/>
  <c r="R7" i="4"/>
  <c r="R8" i="4" s="1"/>
  <c r="R11" i="4" s="1"/>
  <c r="AA7" i="4"/>
  <c r="AA8" i="4" s="1"/>
  <c r="AA11" i="4" s="1"/>
  <c r="AA12" i="4" s="1"/>
  <c r="AA13" i="4" s="1"/>
  <c r="U7" i="4"/>
  <c r="U8" i="4" s="1"/>
  <c r="U11" i="4" s="1"/>
  <c r="U12" i="4" s="1"/>
  <c r="U13" i="4" s="1"/>
  <c r="AN7" i="4"/>
  <c r="AN8" i="4" s="1"/>
  <c r="AN11" i="4" s="1"/>
  <c r="AN12" i="4" s="1"/>
  <c r="AN13" i="4" s="1"/>
  <c r="AK7" i="4"/>
  <c r="AK8" i="4" s="1"/>
  <c r="AK11" i="4" s="1"/>
  <c r="AK12" i="4" s="1"/>
  <c r="AK13" i="4" s="1"/>
  <c r="AE7" i="8"/>
  <c r="AE10" i="8" s="1"/>
  <c r="AH7" i="4"/>
  <c r="AH8" i="4" s="1"/>
  <c r="AH11" i="4" s="1"/>
  <c r="AH12" i="4" s="1"/>
  <c r="AH13" i="4" s="1"/>
  <c r="C3" i="3"/>
  <c r="H5" i="4"/>
  <c r="AT7" i="8"/>
  <c r="AT10" i="8" s="1"/>
  <c r="AY7" i="8"/>
  <c r="AY10" i="8" s="1"/>
  <c r="BD7" i="8"/>
  <c r="BD10" i="8" s="1"/>
  <c r="Z7" i="8"/>
  <c r="Z10" i="8" s="1"/>
  <c r="AJ7" i="8"/>
  <c r="AJ10" i="8" s="1"/>
  <c r="AO7" i="8"/>
  <c r="AO10" i="8" s="1"/>
  <c r="EN11" i="4"/>
  <c r="EN12" i="4" s="1"/>
  <c r="EN13" i="4" s="1"/>
  <c r="CN11" i="4"/>
  <c r="CN12" i="4" s="1"/>
  <c r="CN13" i="4" s="1"/>
  <c r="CU11" i="4"/>
  <c r="CU12" i="4" s="1"/>
  <c r="CU13" i="4" s="1"/>
  <c r="BK11" i="4"/>
  <c r="BK12" i="4" s="1"/>
  <c r="BK13" i="4" s="1"/>
  <c r="CA11" i="4"/>
  <c r="CA12" i="4" s="1"/>
  <c r="CA13" i="4" s="1"/>
  <c r="CE11" i="4"/>
  <c r="CR11" i="4"/>
  <c r="DH11" i="4"/>
  <c r="DH12" i="4" s="1"/>
  <c r="DH13" i="4" s="1"/>
  <c r="DU11" i="4"/>
  <c r="DU12" i="4" s="1"/>
  <c r="DU13" i="4" s="1"/>
  <c r="BE11" i="4"/>
  <c r="DX11" i="4"/>
  <c r="DX12" i="4" s="1"/>
  <c r="DX13" i="4" s="1"/>
  <c r="BN11" i="4"/>
  <c r="BN12" i="4" s="1"/>
  <c r="BN13" i="4" s="1"/>
  <c r="BX11" i="4"/>
  <c r="BX12" i="4" s="1"/>
  <c r="BX13" i="4" s="1"/>
  <c r="DN11" i="4"/>
  <c r="DN12" i="4" s="1"/>
  <c r="DN13" i="4" s="1"/>
  <c r="DA11" i="4"/>
  <c r="DA12" i="4" s="1"/>
  <c r="DA13" i="4" s="1"/>
  <c r="DE11" i="4"/>
  <c r="DE12" i="4" s="1"/>
  <c r="DE13" i="4" s="1"/>
  <c r="DR11" i="4"/>
  <c r="EH11" i="4"/>
  <c r="EH12" i="4" s="1"/>
  <c r="EH13" i="4" s="1"/>
  <c r="CX11" i="4"/>
  <c r="CX12" i="4" s="1"/>
  <c r="CX13" i="4" s="1"/>
  <c r="BH11" i="4"/>
  <c r="BH12" i="4" s="1"/>
  <c r="BH13" i="4" s="1"/>
  <c r="BU11" i="4"/>
  <c r="BU12" i="4" s="1"/>
  <c r="BU13" i="4" s="1"/>
  <c r="EA11" i="4"/>
  <c r="EA12" i="4" s="1"/>
  <c r="EA13" i="4" s="1"/>
  <c r="CH11" i="4"/>
  <c r="CH12" i="4" s="1"/>
  <c r="CH13" i="4" s="1"/>
  <c r="EE11" i="4"/>
  <c r="BR11" i="4"/>
  <c r="CK11" i="4"/>
  <c r="CK12" i="4" s="1"/>
  <c r="CK13" i="4" s="1"/>
  <c r="DK11" i="4"/>
  <c r="DK12" i="4" s="1"/>
  <c r="DK13" i="4" s="1"/>
  <c r="EK11" i="4"/>
  <c r="EK12" i="4" s="1"/>
  <c r="EK13" i="4" s="1"/>
  <c r="AE11" i="4"/>
  <c r="AE12" i="4" s="1"/>
  <c r="AE13" i="4" s="1"/>
  <c r="U38" i="1"/>
  <c r="K7" i="8" l="1"/>
  <c r="K10" i="8" s="1"/>
  <c r="BI7" i="8"/>
  <c r="BI10" i="8" s="1"/>
  <c r="ER11" i="4"/>
  <c r="ER12" i="4" s="1"/>
  <c r="ER13" i="4" s="1"/>
  <c r="U7" i="8"/>
  <c r="U10" i="8" s="1"/>
  <c r="P7" i="8"/>
  <c r="P10" i="8" s="1"/>
  <c r="DR12" i="4"/>
  <c r="DR13" i="4" s="1"/>
  <c r="AY56" i="8"/>
  <c r="AZ55" i="8" s="1"/>
  <c r="AZ61" i="8" s="1"/>
  <c r="EE12" i="4"/>
  <c r="EE13" i="4" s="1"/>
  <c r="BD56" i="8"/>
  <c r="BE55" i="8" s="1"/>
  <c r="BE61" i="8" s="1"/>
  <c r="AT56" i="8"/>
  <c r="AU55" i="8" s="1"/>
  <c r="AU61" i="8" s="1"/>
  <c r="AJ56" i="8"/>
  <c r="AK55" i="8" s="1"/>
  <c r="AK61" i="8" s="1"/>
  <c r="BR12" i="4"/>
  <c r="BR13" i="4" s="1"/>
  <c r="AE56" i="8"/>
  <c r="AF55" i="8" s="1"/>
  <c r="AF61" i="8" s="1"/>
  <c r="CR12" i="4"/>
  <c r="CR13" i="4" s="1"/>
  <c r="AO56" i="8"/>
  <c r="AP55" i="8" s="1"/>
  <c r="AP61" i="8" s="1"/>
  <c r="BE12" i="4"/>
  <c r="BE13" i="4" s="1"/>
  <c r="Z56" i="8"/>
  <c r="AA55" i="8" s="1"/>
  <c r="AA61" i="8" s="1"/>
  <c r="CE12" i="4"/>
  <c r="CE13" i="4" s="1"/>
  <c r="AR12" i="4"/>
  <c r="AR13" i="4" s="1"/>
  <c r="U56" i="8"/>
  <c r="V55" i="8" s="1"/>
  <c r="P56" i="8"/>
  <c r="Q55" i="8" s="1"/>
  <c r="R12" i="4"/>
  <c r="R13" i="4" s="1"/>
  <c r="K56" i="8"/>
  <c r="L55" i="8" s="1"/>
  <c r="B135" i="1"/>
  <c r="AB38" i="1"/>
  <c r="BI56" i="8" l="1"/>
  <c r="BJ55" i="8" s="1"/>
  <c r="BJ61" i="8" s="1"/>
  <c r="L61" i="8"/>
  <c r="V61" i="8"/>
  <c r="Q61" i="8"/>
  <c r="B131" i="1"/>
  <c r="B132" i="1"/>
  <c r="B133" i="1"/>
  <c r="B134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05" i="1"/>
  <c r="B103" i="1"/>
  <c r="B104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7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47" i="1"/>
  <c r="H7" i="1"/>
  <c r="H8" i="1" s="1"/>
  <c r="H9" i="1" l="1"/>
  <c r="C48" i="1"/>
  <c r="C47" i="1"/>
  <c r="H10" i="1" l="1"/>
  <c r="C49" i="1"/>
  <c r="H11" i="1" l="1"/>
  <c r="C50" i="1"/>
  <c r="H12" i="1" l="1"/>
  <c r="C52" i="1" s="1"/>
  <c r="C51" i="1"/>
  <c r="N5" i="4" l="1"/>
  <c r="N38" i="1"/>
  <c r="E5" i="4" l="1"/>
  <c r="G38" i="1"/>
  <c r="N6" i="4" l="1"/>
  <c r="N7" i="4" s="1"/>
  <c r="N8" i="4" s="1"/>
  <c r="H6" i="4"/>
  <c r="H7" i="4" s="1"/>
  <c r="H8" i="4" s="1"/>
  <c r="K6" i="4"/>
  <c r="K7" i="4" s="1"/>
  <c r="K8" i="4" s="1"/>
  <c r="E6" i="4"/>
  <c r="E7" i="4" s="1"/>
  <c r="E8" i="4" s="1"/>
  <c r="E11" i="4" s="1"/>
  <c r="K11" i="4" l="1"/>
  <c r="K12" i="4" s="1"/>
  <c r="K13" i="4" s="1"/>
  <c r="H11" i="4"/>
  <c r="H12" i="4" s="1"/>
  <c r="H13" i="4" s="1"/>
  <c r="N11" i="4"/>
  <c r="N12" i="4" s="1"/>
  <c r="N13" i="4" s="1"/>
  <c r="E12" i="4"/>
  <c r="F7" i="8"/>
  <c r="F10" i="8" s="1"/>
  <c r="H13" i="1"/>
  <c r="C53" i="1" s="1"/>
  <c r="F56" i="8" l="1"/>
  <c r="G55" i="8" s="1"/>
  <c r="G61" i="8" s="1"/>
  <c r="E13" i="4"/>
  <c r="C3" i="4"/>
  <c r="H14" i="1"/>
  <c r="M38" i="1"/>
  <c r="L38" i="1" s="1"/>
  <c r="H15" i="1" l="1"/>
  <c r="C55" i="1" s="1"/>
  <c r="C54" i="1"/>
  <c r="AA38" i="1"/>
  <c r="T38" i="1"/>
  <c r="H16" i="1" l="1"/>
  <c r="C56" i="1" s="1"/>
  <c r="H17" i="1" l="1"/>
  <c r="C57" i="1" s="1"/>
  <c r="H18" i="1" l="1"/>
  <c r="C58" i="1" s="1"/>
  <c r="H19" i="1" l="1"/>
  <c r="C59" i="1" s="1"/>
  <c r="H20" i="1" l="1"/>
  <c r="C60" i="1" s="1"/>
  <c r="H21" i="1" l="1"/>
  <c r="C61" i="1" s="1"/>
  <c r="H22" i="1" l="1"/>
  <c r="C62" i="1" s="1"/>
  <c r="H23" i="1" l="1"/>
  <c r="C63" i="1" s="1"/>
  <c r="H24" i="1" l="1"/>
  <c r="C64" i="1" s="1"/>
  <c r="H25" i="1" l="1"/>
  <c r="C65" i="1" s="1"/>
  <c r="H26" i="1" l="1"/>
  <c r="C66" i="1" s="1"/>
  <c r="H27" i="1" l="1"/>
  <c r="C67" i="1" s="1"/>
  <c r="H28" i="1" l="1"/>
  <c r="C68" i="1" s="1"/>
  <c r="H29" i="1" l="1"/>
  <c r="C69" i="1" s="1"/>
  <c r="H30" i="1" l="1"/>
  <c r="C70" i="1" s="1"/>
  <c r="H31" i="1" l="1"/>
  <c r="C71" i="1" s="1"/>
  <c r="H32" i="1" l="1"/>
  <c r="C72" i="1" s="1"/>
  <c r="H33" i="1" l="1"/>
  <c r="C73" i="1" s="1"/>
  <c r="H34" i="1" l="1"/>
  <c r="C74" i="1" s="1"/>
  <c r="H35" i="1" l="1"/>
  <c r="C75" i="1" s="1"/>
  <c r="H36" i="1" l="1"/>
  <c r="H37" i="1" s="1"/>
  <c r="H38" i="1" s="1"/>
  <c r="L5" i="1" s="1"/>
  <c r="O7" i="1" s="1"/>
  <c r="C76" i="1" l="1"/>
  <c r="O8" i="1"/>
  <c r="C78" i="1" s="1"/>
  <c r="C77" i="1"/>
  <c r="O9" i="1" l="1"/>
  <c r="C79" i="1" s="1"/>
  <c r="O10" i="1" l="1"/>
  <c r="C80" i="1" s="1"/>
  <c r="O11" i="1" l="1"/>
  <c r="C81" i="1" s="1"/>
  <c r="O12" i="1" l="1"/>
  <c r="C82" i="1" s="1"/>
  <c r="O13" i="1" l="1"/>
  <c r="C83" i="1" s="1"/>
  <c r="O14" i="1" l="1"/>
  <c r="C84" i="1" s="1"/>
  <c r="O15" i="1" l="1"/>
  <c r="C85" i="1" s="1"/>
  <c r="O16" i="1" l="1"/>
  <c r="C86" i="1" s="1"/>
  <c r="O17" i="1" l="1"/>
  <c r="C87" i="1" s="1"/>
  <c r="O18" i="1" l="1"/>
  <c r="C88" i="1" s="1"/>
  <c r="O19" i="1" l="1"/>
  <c r="C89" i="1" s="1"/>
  <c r="O20" i="1" l="1"/>
  <c r="C90" i="1" s="1"/>
  <c r="O21" i="1" l="1"/>
  <c r="C91" i="1" s="1"/>
  <c r="O22" i="1" l="1"/>
  <c r="C92" i="1" s="1"/>
  <c r="O23" i="1" l="1"/>
  <c r="C93" i="1" s="1"/>
  <c r="O24" i="1" l="1"/>
  <c r="C94" i="1" s="1"/>
  <c r="O25" i="1" l="1"/>
  <c r="C95" i="1" s="1"/>
  <c r="O26" i="1" l="1"/>
  <c r="C96" i="1" s="1"/>
  <c r="O27" i="1" l="1"/>
  <c r="C97" i="1" s="1"/>
  <c r="O28" i="1" l="1"/>
  <c r="C98" i="1" s="1"/>
  <c r="O29" i="1" l="1"/>
  <c r="C99" i="1" s="1"/>
  <c r="O30" i="1" l="1"/>
  <c r="C100" i="1" s="1"/>
  <c r="O31" i="1" l="1"/>
  <c r="C101" i="1" s="1"/>
  <c r="O32" i="1" l="1"/>
  <c r="C102" i="1" s="1"/>
  <c r="O33" i="1" l="1"/>
  <c r="C103" i="1" s="1"/>
  <c r="O34" i="1" l="1"/>
  <c r="C104" i="1" s="1"/>
  <c r="O35" i="1" l="1"/>
  <c r="O36" i="1" s="1"/>
  <c r="O37" i="1" l="1"/>
  <c r="O38" i="1" s="1"/>
  <c r="S5" i="1" s="1"/>
  <c r="V7" i="1" l="1"/>
  <c r="C105" i="1" l="1"/>
  <c r="V8" i="1"/>
  <c r="C106" i="1" s="1"/>
  <c r="V9" i="1" l="1"/>
  <c r="C107" i="1" s="1"/>
  <c r="V10" i="1" l="1"/>
  <c r="C108" i="1" s="1"/>
  <c r="V11" i="1" l="1"/>
  <c r="C109" i="1" s="1"/>
  <c r="V12" i="1" l="1"/>
  <c r="C110" i="1" s="1"/>
  <c r="V13" i="1" l="1"/>
  <c r="C111" i="1" s="1"/>
  <c r="V14" i="1" l="1"/>
  <c r="C112" i="1" s="1"/>
  <c r="V15" i="1" l="1"/>
  <c r="C113" i="1" s="1"/>
  <c r="V16" i="1" l="1"/>
  <c r="C114" i="1" s="1"/>
  <c r="V17" i="1" l="1"/>
  <c r="C115" i="1" s="1"/>
  <c r="V18" i="1" l="1"/>
  <c r="C116" i="1" s="1"/>
  <c r="V19" i="1" l="1"/>
  <c r="C117" i="1" s="1"/>
  <c r="V20" i="1" l="1"/>
  <c r="C118" i="1" s="1"/>
  <c r="V21" i="1" l="1"/>
  <c r="C119" i="1" s="1"/>
  <c r="V22" i="1" l="1"/>
  <c r="C120" i="1" s="1"/>
  <c r="V23" i="1" l="1"/>
  <c r="C121" i="1" s="1"/>
  <c r="V24" i="1" l="1"/>
  <c r="C122" i="1" s="1"/>
  <c r="V25" i="1" l="1"/>
  <c r="C123" i="1" s="1"/>
  <c r="V26" i="1" l="1"/>
  <c r="C124" i="1" s="1"/>
  <c r="V27" i="1" l="1"/>
  <c r="C125" i="1" s="1"/>
  <c r="V28" i="1" l="1"/>
  <c r="C126" i="1" s="1"/>
  <c r="V29" i="1" l="1"/>
  <c r="C127" i="1" s="1"/>
  <c r="V30" i="1" l="1"/>
  <c r="C128" i="1" s="1"/>
  <c r="V31" i="1" l="1"/>
  <c r="C129" i="1" s="1"/>
  <c r="V32" i="1" l="1"/>
  <c r="C130" i="1" s="1"/>
  <c r="V33" i="1" l="1"/>
  <c r="C131" i="1" s="1"/>
  <c r="V34" i="1" l="1"/>
  <c r="C132" i="1" s="1"/>
  <c r="V35" i="1" l="1"/>
  <c r="C133" i="1" s="1"/>
  <c r="V36" i="1" l="1"/>
  <c r="C134" i="1" s="1"/>
  <c r="V37" i="1" l="1"/>
  <c r="V38" i="1" l="1"/>
  <c r="Z5" i="1" s="1"/>
  <c r="AC7" i="1" s="1"/>
  <c r="C135" i="1"/>
  <c r="AC8" i="1" l="1"/>
  <c r="C136" i="1" s="1"/>
  <c r="AC9" i="1" l="1"/>
  <c r="C137" i="1" s="1"/>
  <c r="AC10" i="1" l="1"/>
  <c r="AC11" i="1" s="1"/>
  <c r="C138" i="1" l="1"/>
  <c r="AC12" i="1"/>
  <c r="C139" i="1"/>
  <c r="AC13" i="1" l="1"/>
  <c r="C140" i="1"/>
  <c r="AC14" i="1" l="1"/>
  <c r="C141" i="1"/>
  <c r="AC15" i="1" l="1"/>
  <c r="C142" i="1"/>
  <c r="AC16" i="1" l="1"/>
  <c r="C143" i="1"/>
  <c r="AC17" i="1" l="1"/>
  <c r="C144" i="1"/>
  <c r="AC18" i="1" l="1"/>
  <c r="C145" i="1"/>
  <c r="AC19" i="1" l="1"/>
  <c r="C146" i="1"/>
  <c r="AC20" i="1" l="1"/>
  <c r="C147" i="1"/>
  <c r="AC21" i="1" l="1"/>
  <c r="C148" i="1"/>
  <c r="AC22" i="1" l="1"/>
  <c r="C149" i="1"/>
  <c r="AC23" i="1" l="1"/>
  <c r="C150" i="1"/>
  <c r="AC24" i="1" l="1"/>
  <c r="C151" i="1"/>
  <c r="AC25" i="1" l="1"/>
  <c r="C152" i="1"/>
  <c r="AC26" i="1" l="1"/>
  <c r="C153" i="1"/>
  <c r="AC27" i="1" l="1"/>
  <c r="C154" i="1"/>
  <c r="AC28" i="1" l="1"/>
  <c r="C155" i="1"/>
  <c r="AC29" i="1" l="1"/>
  <c r="C156" i="1"/>
  <c r="AC30" i="1" l="1"/>
  <c r="C157" i="1"/>
  <c r="AC31" i="1" l="1"/>
  <c r="C158" i="1"/>
  <c r="AC32" i="1" l="1"/>
  <c r="C159" i="1"/>
  <c r="AC33" i="1" l="1"/>
  <c r="C160" i="1"/>
  <c r="AC34" i="1" l="1"/>
  <c r="C161" i="1"/>
  <c r="AC35" i="1" l="1"/>
  <c r="C162" i="1"/>
  <c r="AC36" i="1" l="1"/>
  <c r="C163" i="1"/>
  <c r="AC37" i="1" l="1"/>
  <c r="C164" i="1"/>
  <c r="AC38" i="1" l="1"/>
  <c r="AG5" i="1" s="1"/>
  <c r="AJ7" i="1" s="1"/>
  <c r="C165" i="1"/>
  <c r="AJ8" i="1" l="1"/>
  <c r="C166" i="1"/>
  <c r="AJ9" i="1" l="1"/>
  <c r="C167" i="1"/>
  <c r="AJ10" i="1" l="1"/>
  <c r="C168" i="1"/>
  <c r="AJ11" i="1" l="1"/>
  <c r="C169" i="1"/>
  <c r="AJ12" i="1" l="1"/>
  <c r="C170" i="1"/>
  <c r="AJ13" i="1" l="1"/>
  <c r="C171" i="1"/>
  <c r="AJ14" i="1" l="1"/>
  <c r="C172" i="1"/>
  <c r="AJ15" i="1" l="1"/>
  <c r="C173" i="1"/>
  <c r="AJ16" i="1" l="1"/>
  <c r="C174" i="1"/>
  <c r="AJ17" i="1" l="1"/>
  <c r="C175" i="1"/>
  <c r="AJ18" i="1" l="1"/>
  <c r="C176" i="1"/>
  <c r="AJ19" i="1" l="1"/>
  <c r="C177" i="1"/>
  <c r="AJ20" i="1" l="1"/>
  <c r="C178" i="1"/>
  <c r="AJ21" i="1" l="1"/>
  <c r="C179" i="1"/>
  <c r="AJ22" i="1" l="1"/>
  <c r="C180" i="1"/>
  <c r="AJ23" i="1" l="1"/>
  <c r="C181" i="1"/>
  <c r="AJ24" i="1" l="1"/>
  <c r="C182" i="1"/>
  <c r="AJ25" i="1" l="1"/>
  <c r="C183" i="1"/>
  <c r="AJ26" i="1" l="1"/>
  <c r="C184" i="1"/>
  <c r="AJ27" i="1" l="1"/>
  <c r="C185" i="1"/>
  <c r="AJ28" i="1" l="1"/>
  <c r="C186" i="1"/>
  <c r="AJ29" i="1" l="1"/>
  <c r="C187" i="1"/>
  <c r="AJ30" i="1" l="1"/>
  <c r="C188" i="1"/>
  <c r="AJ31" i="1" l="1"/>
  <c r="C189" i="1"/>
  <c r="AJ32" i="1" l="1"/>
  <c r="C190" i="1"/>
  <c r="AJ33" i="1" l="1"/>
  <c r="C191" i="1"/>
  <c r="AJ34" i="1" l="1"/>
  <c r="C192" i="1"/>
  <c r="AJ35" i="1" l="1"/>
  <c r="C193" i="1"/>
  <c r="AJ36" i="1" l="1"/>
  <c r="C194" i="1"/>
  <c r="AJ37" i="1" l="1"/>
  <c r="C195" i="1"/>
  <c r="AJ38" i="1" l="1"/>
  <c r="AN5" i="1" s="1"/>
  <c r="AQ7" i="1" s="1"/>
  <c r="C196" i="1"/>
  <c r="AQ8" i="1" l="1"/>
  <c r="C197" i="1"/>
  <c r="AQ9" i="1" l="1"/>
  <c r="C198" i="1"/>
  <c r="AQ10" i="1" l="1"/>
  <c r="C199" i="1"/>
  <c r="AQ11" i="1" l="1"/>
  <c r="C200" i="1"/>
  <c r="AQ12" i="1" l="1"/>
  <c r="C201" i="1"/>
  <c r="AQ13" i="1" l="1"/>
  <c r="C202" i="1"/>
  <c r="AQ14" i="1" l="1"/>
  <c r="C203" i="1"/>
  <c r="AQ15" i="1" l="1"/>
  <c r="C204" i="1"/>
  <c r="AQ16" i="1" l="1"/>
  <c r="C205" i="1"/>
  <c r="AQ17" i="1" l="1"/>
  <c r="C206" i="1"/>
  <c r="AQ18" i="1" l="1"/>
  <c r="C207" i="1"/>
  <c r="AQ19" i="1" l="1"/>
  <c r="C208" i="1"/>
  <c r="AQ20" i="1" l="1"/>
  <c r="C209" i="1"/>
  <c r="AQ21" i="1" l="1"/>
  <c r="C210" i="1"/>
  <c r="AQ22" i="1" l="1"/>
  <c r="C211" i="1"/>
  <c r="AQ23" i="1" l="1"/>
  <c r="C212" i="1"/>
  <c r="AQ24" i="1" l="1"/>
  <c r="C213" i="1"/>
  <c r="AQ25" i="1" l="1"/>
  <c r="C214" i="1"/>
  <c r="AQ26" i="1" l="1"/>
  <c r="C215" i="1"/>
  <c r="AQ27" i="1" l="1"/>
  <c r="C216" i="1"/>
  <c r="AQ28" i="1" l="1"/>
  <c r="C217" i="1"/>
  <c r="AQ29" i="1" l="1"/>
  <c r="C218" i="1"/>
  <c r="AQ30" i="1" l="1"/>
  <c r="C219" i="1"/>
  <c r="AQ31" i="1" l="1"/>
  <c r="C220" i="1"/>
  <c r="AQ32" i="1" l="1"/>
  <c r="C221" i="1"/>
  <c r="AQ33" i="1" l="1"/>
  <c r="C222" i="1"/>
  <c r="AQ34" i="1" l="1"/>
  <c r="C223" i="1"/>
  <c r="AQ35" i="1" l="1"/>
  <c r="C224" i="1"/>
  <c r="AQ36" i="1" l="1"/>
  <c r="C225" i="1"/>
  <c r="AQ37" i="1" l="1"/>
  <c r="AQ38" i="1" s="1"/>
  <c r="AU5" i="1" s="1"/>
  <c r="AX7" i="1" s="1"/>
  <c r="C226" i="1"/>
  <c r="AX8" i="1" l="1"/>
  <c r="C227" i="1"/>
  <c r="AX9" i="1" l="1"/>
  <c r="C228" i="1"/>
  <c r="AX10" i="1" l="1"/>
  <c r="C229" i="1"/>
  <c r="AX11" i="1" l="1"/>
  <c r="C230" i="1"/>
  <c r="AX12" i="1" l="1"/>
  <c r="C231" i="1"/>
  <c r="AX13" i="1" l="1"/>
  <c r="C232" i="1"/>
  <c r="AX14" i="1" l="1"/>
  <c r="C233" i="1"/>
  <c r="AX15" i="1" l="1"/>
  <c r="C234" i="1"/>
  <c r="AX16" i="1" l="1"/>
  <c r="C235" i="1"/>
  <c r="AX17" i="1" l="1"/>
  <c r="C236" i="1"/>
  <c r="AX18" i="1" l="1"/>
  <c r="C237" i="1"/>
  <c r="AX19" i="1" l="1"/>
  <c r="C238" i="1"/>
  <c r="AX20" i="1" l="1"/>
  <c r="C239" i="1"/>
  <c r="AX21" i="1" l="1"/>
  <c r="C240" i="1"/>
  <c r="AX22" i="1" l="1"/>
  <c r="C241" i="1"/>
  <c r="AX23" i="1" l="1"/>
  <c r="C242" i="1"/>
  <c r="AX24" i="1" l="1"/>
  <c r="C243" i="1"/>
  <c r="AX25" i="1" l="1"/>
  <c r="C244" i="1"/>
  <c r="AX26" i="1" l="1"/>
  <c r="C245" i="1"/>
  <c r="AX27" i="1" l="1"/>
  <c r="C246" i="1"/>
  <c r="AX28" i="1" l="1"/>
  <c r="C247" i="1"/>
  <c r="AX29" i="1" l="1"/>
  <c r="C248" i="1"/>
  <c r="AX30" i="1" l="1"/>
  <c r="C249" i="1"/>
  <c r="AX31" i="1" l="1"/>
  <c r="C250" i="1"/>
  <c r="AX32" i="1" l="1"/>
  <c r="C251" i="1"/>
  <c r="AX33" i="1" l="1"/>
  <c r="C252" i="1"/>
  <c r="AX34" i="1" l="1"/>
  <c r="C253" i="1"/>
  <c r="AX35" i="1" l="1"/>
  <c r="C254" i="1"/>
  <c r="AX36" i="1" l="1"/>
  <c r="C255" i="1"/>
  <c r="AX37" i="1" l="1"/>
  <c r="C256" i="1"/>
  <c r="AX38" i="1" l="1"/>
  <c r="BB5" i="1" s="1"/>
  <c r="BE7" i="1" s="1"/>
  <c r="C257" i="1"/>
  <c r="BE8" i="1" l="1"/>
  <c r="C258" i="1"/>
  <c r="BE9" i="1" l="1"/>
  <c r="C259" i="1"/>
  <c r="BE10" i="1" l="1"/>
  <c r="C260" i="1"/>
  <c r="BE11" i="1" l="1"/>
  <c r="C261" i="1"/>
  <c r="BE12" i="1" l="1"/>
  <c r="C262" i="1"/>
  <c r="BE13" i="1" l="1"/>
  <c r="C263" i="1"/>
  <c r="BE14" i="1" l="1"/>
  <c r="C264" i="1"/>
  <c r="BE15" i="1" l="1"/>
  <c r="C265" i="1"/>
  <c r="BE16" i="1" l="1"/>
  <c r="C266" i="1"/>
  <c r="BE17" i="1" l="1"/>
  <c r="C267" i="1"/>
  <c r="BE18" i="1" l="1"/>
  <c r="C268" i="1"/>
  <c r="BE19" i="1" l="1"/>
  <c r="C269" i="1"/>
  <c r="BE20" i="1" l="1"/>
  <c r="C270" i="1"/>
  <c r="BE21" i="1" l="1"/>
  <c r="C271" i="1"/>
  <c r="BE22" i="1" l="1"/>
  <c r="C272" i="1"/>
  <c r="BE23" i="1" l="1"/>
  <c r="C273" i="1"/>
  <c r="BE24" i="1" l="1"/>
  <c r="C274" i="1"/>
  <c r="BE25" i="1" l="1"/>
  <c r="C275" i="1"/>
  <c r="BE26" i="1" l="1"/>
  <c r="C276" i="1"/>
  <c r="BE27" i="1" l="1"/>
  <c r="C277" i="1"/>
  <c r="BE28" i="1" l="1"/>
  <c r="C278" i="1"/>
  <c r="BE29" i="1" l="1"/>
  <c r="C279" i="1"/>
  <c r="BE30" i="1" l="1"/>
  <c r="C280" i="1"/>
  <c r="BE31" i="1" l="1"/>
  <c r="C281" i="1"/>
  <c r="BE32" i="1" l="1"/>
  <c r="C282" i="1"/>
  <c r="BE33" i="1" l="1"/>
  <c r="C283" i="1"/>
  <c r="BE34" i="1" l="1"/>
  <c r="C284" i="1"/>
  <c r="BE35" i="1" l="1"/>
  <c r="C285" i="1"/>
  <c r="BE36" i="1" l="1"/>
  <c r="C286" i="1"/>
  <c r="BE37" i="1" l="1"/>
  <c r="C287" i="1"/>
  <c r="BE38" i="1" l="1"/>
  <c r="BI5" i="1" s="1"/>
  <c r="BL7" i="1" s="1"/>
  <c r="C288" i="1"/>
  <c r="BL8" i="1" l="1"/>
  <c r="C289" i="1"/>
  <c r="BL9" i="1" l="1"/>
  <c r="C290" i="1"/>
  <c r="BL10" i="1" l="1"/>
  <c r="C291" i="1"/>
  <c r="BL11" i="1" l="1"/>
  <c r="C292" i="1"/>
  <c r="BL12" i="1" l="1"/>
  <c r="C293" i="1"/>
  <c r="BL13" i="1" l="1"/>
  <c r="C294" i="1"/>
  <c r="BL14" i="1" l="1"/>
  <c r="C295" i="1"/>
  <c r="BL15" i="1" l="1"/>
  <c r="C296" i="1"/>
  <c r="BL16" i="1" l="1"/>
  <c r="C297" i="1"/>
  <c r="BL17" i="1" l="1"/>
  <c r="C298" i="1"/>
  <c r="BL18" i="1" l="1"/>
  <c r="C299" i="1"/>
  <c r="BL19" i="1" l="1"/>
  <c r="C300" i="1"/>
  <c r="BL20" i="1" l="1"/>
  <c r="C301" i="1"/>
  <c r="BL21" i="1" l="1"/>
  <c r="C302" i="1"/>
  <c r="BL22" i="1" l="1"/>
  <c r="C303" i="1"/>
  <c r="BL23" i="1" l="1"/>
  <c r="C304" i="1"/>
  <c r="BL24" i="1" l="1"/>
  <c r="C305" i="1"/>
  <c r="BL25" i="1" l="1"/>
  <c r="C306" i="1"/>
  <c r="BL26" i="1" l="1"/>
  <c r="C307" i="1"/>
  <c r="BL27" i="1" l="1"/>
  <c r="C308" i="1"/>
  <c r="BL28" i="1" l="1"/>
  <c r="C309" i="1"/>
  <c r="BL29" i="1" l="1"/>
  <c r="C310" i="1"/>
  <c r="BL30" i="1" l="1"/>
  <c r="C311" i="1"/>
  <c r="BL31" i="1" l="1"/>
  <c r="C312" i="1"/>
  <c r="BL32" i="1" l="1"/>
  <c r="C313" i="1"/>
  <c r="BL33" i="1" l="1"/>
  <c r="C314" i="1"/>
  <c r="BL34" i="1" l="1"/>
  <c r="C315" i="1"/>
  <c r="BL35" i="1" l="1"/>
  <c r="C316" i="1"/>
  <c r="BL36" i="1" l="1"/>
  <c r="C317" i="1"/>
  <c r="BL37" i="1" l="1"/>
  <c r="BL38" i="1" s="1"/>
  <c r="BP5" i="1" s="1"/>
  <c r="BS7" i="1" s="1"/>
  <c r="C318" i="1"/>
  <c r="BS8" i="1" l="1"/>
  <c r="C319" i="1"/>
  <c r="BS9" i="1" l="1"/>
  <c r="C320" i="1"/>
  <c r="BS10" i="1" l="1"/>
  <c r="C321" i="1"/>
  <c r="BS11" i="1" l="1"/>
  <c r="C322" i="1"/>
  <c r="BS12" i="1" l="1"/>
  <c r="C323" i="1"/>
  <c r="BS13" i="1" l="1"/>
  <c r="C324" i="1"/>
  <c r="BS14" i="1" l="1"/>
  <c r="C325" i="1"/>
  <c r="BS15" i="1" l="1"/>
  <c r="C326" i="1"/>
  <c r="BS16" i="1" l="1"/>
  <c r="C327" i="1"/>
  <c r="BS17" i="1" l="1"/>
  <c r="C328" i="1"/>
  <c r="BS18" i="1" l="1"/>
  <c r="C329" i="1"/>
  <c r="BS19" i="1" l="1"/>
  <c r="C330" i="1"/>
  <c r="BS20" i="1" l="1"/>
  <c r="C331" i="1"/>
  <c r="BS21" i="1" l="1"/>
  <c r="C332" i="1"/>
  <c r="BS22" i="1" l="1"/>
  <c r="C333" i="1"/>
  <c r="BS23" i="1" l="1"/>
  <c r="C334" i="1"/>
  <c r="BS24" i="1" l="1"/>
  <c r="C335" i="1"/>
  <c r="BS25" i="1" l="1"/>
  <c r="C336" i="1"/>
  <c r="BS26" i="1" l="1"/>
  <c r="C337" i="1"/>
  <c r="BS27" i="1" l="1"/>
  <c r="C338" i="1"/>
  <c r="BS28" i="1" l="1"/>
  <c r="C339" i="1"/>
  <c r="BS29" i="1" l="1"/>
  <c r="C340" i="1"/>
  <c r="BS30" i="1" l="1"/>
  <c r="C341" i="1"/>
  <c r="BS31" i="1" l="1"/>
  <c r="C342" i="1"/>
  <c r="BS32" i="1" l="1"/>
  <c r="C343" i="1"/>
  <c r="BS33" i="1" l="1"/>
  <c r="C344" i="1"/>
  <c r="BS34" i="1" l="1"/>
  <c r="C345" i="1"/>
  <c r="BS35" i="1" l="1"/>
  <c r="C346" i="1"/>
  <c r="BS36" i="1" l="1"/>
  <c r="C347" i="1"/>
  <c r="BS37" i="1" l="1"/>
  <c r="C348" i="1"/>
  <c r="BS38" i="1" l="1"/>
  <c r="BW5" i="1" s="1"/>
  <c r="BZ7" i="1" s="1"/>
  <c r="C349" i="1"/>
  <c r="BZ8" i="1" l="1"/>
  <c r="C350" i="1"/>
  <c r="BZ9" i="1" l="1"/>
  <c r="C351" i="1"/>
  <c r="BZ10" i="1" l="1"/>
  <c r="C352" i="1"/>
  <c r="BZ11" i="1" l="1"/>
  <c r="C353" i="1"/>
  <c r="BZ12" i="1" l="1"/>
  <c r="C354" i="1"/>
  <c r="BZ13" i="1" l="1"/>
  <c r="C355" i="1"/>
  <c r="BZ14" i="1" l="1"/>
  <c r="C356" i="1"/>
  <c r="BZ15" i="1" l="1"/>
  <c r="C357" i="1"/>
  <c r="BZ16" i="1" l="1"/>
  <c r="C358" i="1"/>
  <c r="BZ17" i="1" l="1"/>
  <c r="C359" i="1"/>
  <c r="BZ18" i="1" l="1"/>
  <c r="C360" i="1"/>
  <c r="BZ19" i="1" l="1"/>
  <c r="C361" i="1"/>
  <c r="BZ20" i="1" l="1"/>
  <c r="C362" i="1"/>
  <c r="BZ21" i="1" l="1"/>
  <c r="C363" i="1"/>
  <c r="BZ22" i="1" l="1"/>
  <c r="C364" i="1"/>
  <c r="BZ23" i="1" l="1"/>
  <c r="C365" i="1"/>
  <c r="BZ24" i="1" l="1"/>
  <c r="C366" i="1"/>
  <c r="BZ25" i="1" l="1"/>
  <c r="C367" i="1"/>
  <c r="BZ26" i="1" l="1"/>
  <c r="C368" i="1"/>
  <c r="BZ27" i="1" l="1"/>
  <c r="C369" i="1"/>
  <c r="BZ28" i="1" l="1"/>
  <c r="C370" i="1"/>
  <c r="BZ29" i="1" l="1"/>
  <c r="C371" i="1"/>
  <c r="BZ30" i="1" l="1"/>
  <c r="C372" i="1"/>
  <c r="BZ31" i="1" l="1"/>
  <c r="C373" i="1"/>
  <c r="BZ32" i="1" l="1"/>
  <c r="C374" i="1"/>
  <c r="BZ33" i="1" l="1"/>
  <c r="C375" i="1"/>
  <c r="BZ34" i="1" l="1"/>
  <c r="C376" i="1"/>
  <c r="BZ35" i="1" l="1"/>
  <c r="C377" i="1"/>
  <c r="BZ36" i="1" l="1"/>
  <c r="C378" i="1"/>
  <c r="BZ37" i="1" l="1"/>
  <c r="BZ38" i="1" s="1"/>
  <c r="CD5" i="1" s="1"/>
  <c r="CG7" i="1" s="1"/>
  <c r="C379" i="1"/>
  <c r="CG8" i="1" l="1"/>
  <c r="C380" i="1"/>
  <c r="CG9" i="1" l="1"/>
  <c r="C381" i="1"/>
  <c r="CG10" i="1" l="1"/>
  <c r="C382" i="1"/>
  <c r="CG11" i="1" l="1"/>
  <c r="C383" i="1"/>
  <c r="CG12" i="1" l="1"/>
  <c r="C384" i="1"/>
  <c r="CG13" i="1" l="1"/>
  <c r="C385" i="1"/>
  <c r="CG14" i="1" l="1"/>
  <c r="C386" i="1"/>
  <c r="CG15" i="1" l="1"/>
  <c r="C387" i="1"/>
  <c r="CG16" i="1" l="1"/>
  <c r="C388" i="1"/>
  <c r="CG17" i="1" l="1"/>
  <c r="C389" i="1"/>
  <c r="CG18" i="1" l="1"/>
  <c r="C390" i="1"/>
  <c r="CG19" i="1" l="1"/>
  <c r="C391" i="1"/>
  <c r="CG20" i="1" l="1"/>
  <c r="C392" i="1"/>
  <c r="CG21" i="1" l="1"/>
  <c r="C393" i="1"/>
  <c r="CG22" i="1" l="1"/>
  <c r="C394" i="1"/>
  <c r="CG23" i="1" l="1"/>
  <c r="C395" i="1"/>
  <c r="CG24" i="1" l="1"/>
  <c r="C396" i="1"/>
  <c r="CG25" i="1" l="1"/>
  <c r="C397" i="1"/>
  <c r="CG26" i="1" l="1"/>
  <c r="C398" i="1"/>
  <c r="CG27" i="1" l="1"/>
  <c r="C399" i="1"/>
  <c r="CG28" i="1" l="1"/>
  <c r="C400" i="1"/>
  <c r="CG29" i="1" l="1"/>
  <c r="C401" i="1"/>
  <c r="CG30" i="1" l="1"/>
  <c r="C402" i="1"/>
  <c r="CG31" i="1" l="1"/>
  <c r="C403" i="1"/>
  <c r="CG32" i="1" l="1"/>
  <c r="C404" i="1"/>
  <c r="CG33" i="1" l="1"/>
  <c r="C405" i="1"/>
  <c r="CG34" i="1" l="1"/>
  <c r="C406" i="1"/>
  <c r="CG35" i="1" l="1"/>
  <c r="C407" i="1"/>
  <c r="CG36" i="1" l="1"/>
  <c r="C408" i="1"/>
  <c r="CG37" i="1" l="1"/>
  <c r="C409" i="1"/>
  <c r="CG38" i="1" l="1"/>
  <c r="C4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17" authorId="0" shapeId="0" xr:uid="{9D82F84F-D9F3-2C4F-A35B-C148C1899D9E}">
      <text>
        <r>
          <rPr>
            <b/>
            <sz val="10"/>
            <color rgb="FF000000"/>
            <rFont val="Tahoma"/>
            <family val="2"/>
          </rPr>
          <t>Author: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Paycheck, as referenced in the Financing Sheet</t>
        </r>
      </text>
    </comment>
  </commentList>
</comments>
</file>

<file path=xl/sharedStrings.xml><?xml version="1.0" encoding="utf-8"?>
<sst xmlns="http://schemas.openxmlformats.org/spreadsheetml/2006/main" count="957" uniqueCount="123">
  <si>
    <t>October</t>
  </si>
  <si>
    <t>Income</t>
  </si>
  <si>
    <t>November</t>
  </si>
  <si>
    <t>Worked Hours:</t>
  </si>
  <si>
    <t>Pays on:</t>
  </si>
  <si>
    <t>Pay Period (starts/ends):</t>
  </si>
  <si>
    <t>Clocked Hours</t>
  </si>
  <si>
    <t>Pay check information</t>
  </si>
  <si>
    <t>Worked</t>
  </si>
  <si>
    <t>Date</t>
  </si>
  <si>
    <t>Pay Rate (Per Hour):</t>
  </si>
  <si>
    <t>Income:</t>
  </si>
  <si>
    <t>Personal Finances</t>
  </si>
  <si>
    <t>Estimated tax rate:</t>
  </si>
  <si>
    <t>Percent put in savings:</t>
  </si>
  <si>
    <t>Amount taken for taxes:</t>
  </si>
  <si>
    <t>Amount put in savings:</t>
  </si>
  <si>
    <t>Amount left after savings &amp; taxes</t>
  </si>
  <si>
    <t>Confirm expected total:</t>
  </si>
  <si>
    <t>Checking Status</t>
  </si>
  <si>
    <t>Month</t>
  </si>
  <si>
    <t>Expenses</t>
  </si>
  <si>
    <t>September</t>
  </si>
  <si>
    <t>Estimated amount after taxes:</t>
  </si>
  <si>
    <t>Actual amount after taxes</t>
  </si>
  <si>
    <t>Total Calculated:</t>
  </si>
  <si>
    <t>Date Received:</t>
  </si>
  <si>
    <t>Amount Before taxes</t>
  </si>
  <si>
    <t>Overall</t>
  </si>
  <si>
    <t>Sept</t>
  </si>
  <si>
    <t>Oct</t>
  </si>
  <si>
    <t>Nov</t>
  </si>
  <si>
    <t>Daily Amount</t>
  </si>
  <si>
    <t>Today's Date:</t>
  </si>
  <si>
    <t>December</t>
  </si>
  <si>
    <t>AVG Income:</t>
  </si>
  <si>
    <t>AVG Net Income:</t>
  </si>
  <si>
    <t>Category</t>
  </si>
  <si>
    <t>Amount</t>
  </si>
  <si>
    <t>Notes</t>
  </si>
  <si>
    <t>Sample entry</t>
  </si>
  <si>
    <t>Expidenture</t>
  </si>
  <si>
    <t>Mortgage/Rent</t>
  </si>
  <si>
    <t>Total</t>
  </si>
  <si>
    <t>Dividends</t>
  </si>
  <si>
    <t>Vehicle Payments</t>
  </si>
  <si>
    <t>Vehicle Insurance</t>
  </si>
  <si>
    <t>Utilities</t>
  </si>
  <si>
    <t>Misc Home expenses</t>
  </si>
  <si>
    <t>Phone Bill</t>
  </si>
  <si>
    <t>Medical Insurance</t>
  </si>
  <si>
    <t>Medical Appointments</t>
  </si>
  <si>
    <t>Emergency</t>
  </si>
  <si>
    <t>Home &amp; Utilities</t>
  </si>
  <si>
    <t>Health</t>
  </si>
  <si>
    <t>Transport</t>
  </si>
  <si>
    <t>Vehicle Maintenance</t>
  </si>
  <si>
    <t>Gas</t>
  </si>
  <si>
    <t>Parking</t>
  </si>
  <si>
    <t>Fines</t>
  </si>
  <si>
    <t>Credit</t>
  </si>
  <si>
    <t>Credit Card 1</t>
  </si>
  <si>
    <t>Credit Card 2</t>
  </si>
  <si>
    <t>Credit Card 3</t>
  </si>
  <si>
    <t>Student Loan 1</t>
  </si>
  <si>
    <t>Student Loan 2</t>
  </si>
  <si>
    <t>Student Loan 3</t>
  </si>
  <si>
    <t>Misc Loan 1</t>
  </si>
  <si>
    <t>Misc Loan 3</t>
  </si>
  <si>
    <t>Misc Loan 2</t>
  </si>
  <si>
    <t>Recreation</t>
  </si>
  <si>
    <t>Eating Out</t>
  </si>
  <si>
    <t>Entertainment</t>
  </si>
  <si>
    <t>Hobbies</t>
  </si>
  <si>
    <t>Gym</t>
  </si>
  <si>
    <t>Digital Subscription</t>
  </si>
  <si>
    <t>Groceries</t>
  </si>
  <si>
    <t>Children and Pets</t>
  </si>
  <si>
    <t>Salary (After Taxes)</t>
  </si>
  <si>
    <t>Child Care</t>
  </si>
  <si>
    <t>Child Savings</t>
  </si>
  <si>
    <t>Child Recreational</t>
  </si>
  <si>
    <t>Pet Supplies</t>
  </si>
  <si>
    <t>Personal</t>
  </si>
  <si>
    <t>Grooming</t>
  </si>
  <si>
    <t>Laundry</t>
  </si>
  <si>
    <t>Clothing</t>
  </si>
  <si>
    <t>Personal Savings</t>
  </si>
  <si>
    <t>Gifts</t>
  </si>
  <si>
    <t>Housing Maintenance</t>
  </si>
  <si>
    <t>Charity</t>
  </si>
  <si>
    <t>Vacation</t>
  </si>
  <si>
    <t>Grand Total</t>
  </si>
  <si>
    <t>Savings</t>
  </si>
  <si>
    <t>ENTER STARING BALANCE: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</si>
  <si>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</si>
  <si>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</si>
  <si>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</si>
  <si>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</si>
  <si>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</si>
  <si>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</si>
  <si>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</si>
  <si>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</si>
  <si>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Will just say 1/0/00 until updated in Paycheck sheet</t>
  </si>
  <si>
    <t>Other</t>
  </si>
  <si>
    <t>Don't touch this</t>
  </si>
  <si>
    <t>White cells are meant to be edited! Grey and colored cells either contain formulas or are there to look aesthetically pleasing.</t>
  </si>
  <si>
    <t>You can also add multiple numbers to a single cell! If you type "=40+20+15", it will add them together for you in that cell, and give you the sum!</t>
  </si>
  <si>
    <t>Jan</t>
  </si>
  <si>
    <t>Feb</t>
  </si>
  <si>
    <t>Mar</t>
  </si>
  <si>
    <t>Apr</t>
  </si>
  <si>
    <t>Aug</t>
  </si>
  <si>
    <t>Jul</t>
  </si>
  <si>
    <t>Jun</t>
  </si>
  <si>
    <t xml:space="preserve">Update with ctrl+shift+M </t>
  </si>
  <si>
    <t>To begin, enter your balance as of January 1, 2019 at the top of the January column. This is the only time you will need to do this.</t>
  </si>
  <si>
    <t>After that, fill out the "clocked hours" sheet, and the blank and white cells in the "clocked hours", "Paycheck", and Financing" sheets!</t>
  </si>
  <si>
    <t>This spreadsheet will work on Excel only, Google Sheets is not supported</t>
  </si>
  <si>
    <r>
      <t>To unlock sheets, use passcode "</t>
    </r>
    <r>
      <rPr>
        <b/>
        <sz val="8"/>
        <color theme="1"/>
        <rFont val="Calibri"/>
        <family val="2"/>
        <scheme val="minor"/>
      </rPr>
      <t>gthqer3u7s</t>
    </r>
    <r>
      <rPr>
        <sz val="8"/>
        <color theme="1"/>
        <rFont val="Calibri"/>
        <family val="2"/>
        <scheme val="minor"/>
      </rPr>
      <t>". Only make changes if you know what you're doing!</t>
    </r>
  </si>
  <si>
    <t>Email me for support at micahplacido@gmail.com</t>
  </si>
  <si>
    <t>Tip! Use Shift+F2 to leave a comment! This is a great way of adding notes in case you want to keep track of what a number means! Hover over a cell with a red corner to view the comment attached to it! Delete comments by pressing "Delete" in the review after clicking the cell attached to it!</t>
  </si>
  <si>
    <t>CURRENT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</si>
</sst>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28"/>
      <color theme="6" tint="-0.49998474074526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9"/>
      <color theme="1"/>
      <name val="Calibri"/>
      <family val="2"/>
      <scheme val="minor"/>
    </font>
    <font>
      <sz val="16"/>
      <color theme="6" tint="-0.499984740745262"/>
      <name val="Calibri"/>
      <family val="2"/>
      <scheme val="minor"/>
    </font>
    <font>
      <sz val="10.5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ck">
        <color theme="5"/>
      </top>
      <bottom style="thick">
        <color theme="5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theme="5"/>
      </left>
      <right/>
      <top style="thick">
        <color theme="5"/>
      </top>
      <bottom style="thick">
        <color theme="5"/>
      </bottom>
      <diagonal/>
    </border>
    <border>
      <left style="thick">
        <color theme="6"/>
      </left>
      <right/>
      <top style="thick">
        <color theme="6"/>
      </top>
      <bottom style="thick">
        <color theme="6"/>
      </bottom>
      <diagonal/>
    </border>
    <border>
      <left/>
      <right/>
      <top style="thick">
        <color theme="6"/>
      </top>
      <bottom style="thick">
        <color theme="6"/>
      </bottom>
      <diagonal/>
    </border>
    <border>
      <left/>
      <right style="thick">
        <color theme="6"/>
      </right>
      <top style="thick">
        <color theme="6"/>
      </top>
      <bottom style="thick">
        <color theme="6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291">
    <xf numFmtId="0" fontId="0" fillId="0" borderId="0" xfId="0"/>
    <xf numFmtId="14" fontId="0" fillId="0" borderId="0" xfId="0" applyNumberFormat="1" applyBorder="1"/>
    <xf numFmtId="0" fontId="0" fillId="0" borderId="0" xfId="0" applyBorder="1"/>
    <xf numFmtId="0" fontId="0" fillId="11" borderId="4" xfId="0" applyFill="1" applyBorder="1"/>
    <xf numFmtId="0" fontId="0" fillId="2" borderId="0" xfId="0" applyFill="1" applyBorder="1"/>
    <xf numFmtId="0" fontId="0" fillId="5" borderId="0" xfId="0" applyFill="1" applyBorder="1"/>
    <xf numFmtId="14" fontId="0" fillId="10" borderId="4" xfId="0" applyNumberFormat="1" applyFill="1" applyBorder="1"/>
    <xf numFmtId="164" fontId="0" fillId="0" borderId="0" xfId="0" applyNumberFormat="1" applyBorder="1"/>
    <xf numFmtId="164" fontId="0" fillId="8" borderId="0" xfId="0" applyNumberFormat="1" applyFill="1" applyBorder="1"/>
    <xf numFmtId="164" fontId="4" fillId="3" borderId="0" xfId="0" applyNumberFormat="1" applyFont="1" applyFill="1" applyBorder="1"/>
    <xf numFmtId="0" fontId="0" fillId="15" borderId="13" xfId="0" applyFill="1" applyBorder="1"/>
    <xf numFmtId="0" fontId="0" fillId="8" borderId="13" xfId="0" applyFill="1" applyBorder="1"/>
    <xf numFmtId="0" fontId="0" fillId="16" borderId="13" xfId="0" applyFill="1" applyBorder="1" applyAlignment="1"/>
    <xf numFmtId="0" fontId="0" fillId="16" borderId="14" xfId="0" applyFill="1" applyBorder="1" applyAlignment="1"/>
    <xf numFmtId="0" fontId="0" fillId="15" borderId="14" xfId="0" applyFill="1" applyBorder="1"/>
    <xf numFmtId="0" fontId="0" fillId="8" borderId="14" xfId="0" applyFill="1" applyBorder="1"/>
    <xf numFmtId="0" fontId="0" fillId="9" borderId="5" xfId="0" applyFill="1" applyBorder="1"/>
    <xf numFmtId="164" fontId="0" fillId="7" borderId="5" xfId="0" applyNumberFormat="1" applyFill="1" applyBorder="1"/>
    <xf numFmtId="164" fontId="0" fillId="0" borderId="0" xfId="0" applyNumberFormat="1"/>
    <xf numFmtId="0" fontId="3" fillId="16" borderId="13" xfId="0" applyFont="1" applyFill="1" applyBorder="1" applyAlignment="1">
      <alignment horizontal="center"/>
    </xf>
    <xf numFmtId="0" fontId="3" fillId="14" borderId="13" xfId="0" applyNumberFormat="1" applyFont="1" applyFill="1" applyBorder="1"/>
    <xf numFmtId="0" fontId="0" fillId="14" borderId="13" xfId="0" applyNumberFormat="1" applyFill="1" applyBorder="1" applyAlignment="1"/>
    <xf numFmtId="0" fontId="0" fillId="18" borderId="0" xfId="0" applyFill="1"/>
    <xf numFmtId="0" fontId="0" fillId="14" borderId="14" xfId="0" applyNumberFormat="1" applyFill="1" applyBorder="1" applyAlignment="1"/>
    <xf numFmtId="0" fontId="2" fillId="2" borderId="19" xfId="0" applyNumberFormat="1" applyFont="1" applyFill="1" applyBorder="1" applyAlignment="1"/>
    <xf numFmtId="0" fontId="0" fillId="18" borderId="0" xfId="0" applyNumberFormat="1" applyFill="1"/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/>
    <xf numFmtId="0" fontId="2" fillId="18" borderId="0" xfId="0" applyFont="1" applyFill="1"/>
    <xf numFmtId="0" fontId="0" fillId="16" borderId="29" xfId="0" applyFill="1" applyBorder="1" applyAlignment="1"/>
    <xf numFmtId="0" fontId="3" fillId="14" borderId="28" xfId="0" applyNumberFormat="1" applyFont="1" applyFill="1" applyBorder="1"/>
    <xf numFmtId="0" fontId="2" fillId="18" borderId="0" xfId="0" applyNumberFormat="1" applyFont="1" applyFill="1"/>
    <xf numFmtId="2" fontId="0" fillId="18" borderId="0" xfId="0" applyNumberFormat="1" applyFill="1"/>
    <xf numFmtId="0" fontId="0" fillId="18" borderId="0" xfId="0" applyFill="1" applyBorder="1" applyAlignment="1"/>
    <xf numFmtId="0" fontId="0" fillId="18" borderId="0" xfId="0" applyFont="1" applyFill="1"/>
    <xf numFmtId="0" fontId="0" fillId="18" borderId="0" xfId="0" applyFill="1" applyAlignment="1"/>
    <xf numFmtId="0" fontId="0" fillId="11" borderId="0" xfId="0" applyFill="1" applyBorder="1"/>
    <xf numFmtId="14" fontId="0" fillId="10" borderId="0" xfId="0" applyNumberFormat="1" applyFill="1" applyBorder="1"/>
    <xf numFmtId="0" fontId="0" fillId="9" borderId="0" xfId="0" applyFill="1" applyBorder="1"/>
    <xf numFmtId="164" fontId="0" fillId="7" borderId="0" xfId="0" applyNumberFormat="1" applyFill="1" applyBorder="1"/>
    <xf numFmtId="0" fontId="0" fillId="8" borderId="34" xfId="0" applyFill="1" applyBorder="1"/>
    <xf numFmtId="0" fontId="0" fillId="18" borderId="0" xfId="0" applyFill="1" applyBorder="1"/>
    <xf numFmtId="0" fontId="6" fillId="18" borderId="0" xfId="0" applyFont="1" applyFill="1" applyBorder="1" applyAlignment="1">
      <alignment vertical="center"/>
    </xf>
    <xf numFmtId="164" fontId="0" fillId="4" borderId="19" xfId="0" applyNumberFormat="1" applyFill="1" applyBorder="1"/>
    <xf numFmtId="164" fontId="0" fillId="8" borderId="19" xfId="0" applyNumberFormat="1" applyFill="1" applyBorder="1" applyAlignment="1"/>
    <xf numFmtId="0" fontId="0" fillId="14" borderId="34" xfId="0" applyFill="1" applyBorder="1"/>
    <xf numFmtId="0" fontId="10" fillId="11" borderId="16" xfId="0" applyFont="1" applyFill="1" applyBorder="1" applyAlignment="1">
      <alignment horizontal="center" vertical="center" wrapText="1"/>
    </xf>
    <xf numFmtId="164" fontId="0" fillId="0" borderId="0" xfId="1" applyNumberFormat="1" applyFont="1" applyBorder="1" applyProtection="1">
      <protection locked="0"/>
    </xf>
    <xf numFmtId="164" fontId="0" fillId="0" borderId="15" xfId="1" applyNumberFormat="1" applyFont="1" applyBorder="1" applyProtection="1">
      <protection locked="0"/>
    </xf>
    <xf numFmtId="164" fontId="0" fillId="0" borderId="15" xfId="0" applyNumberFormat="1" applyBorder="1" applyProtection="1">
      <protection locked="0"/>
    </xf>
    <xf numFmtId="164" fontId="0" fillId="18" borderId="0" xfId="0" applyNumberFormat="1" applyFill="1" applyBorder="1" applyProtection="1">
      <protection locked="0"/>
    </xf>
    <xf numFmtId="164" fontId="0" fillId="18" borderId="22" xfId="0" applyNumberFormat="1" applyFill="1" applyBorder="1" applyProtection="1">
      <protection locked="0"/>
    </xf>
    <xf numFmtId="164" fontId="0" fillId="18" borderId="25" xfId="0" applyNumberFormat="1" applyFill="1" applyBorder="1" applyProtection="1">
      <protection locked="0"/>
    </xf>
    <xf numFmtId="164" fontId="0" fillId="0" borderId="45" xfId="0" applyNumberFormat="1" applyBorder="1" applyProtection="1">
      <protection locked="0"/>
    </xf>
    <xf numFmtId="0" fontId="0" fillId="0" borderId="24" xfId="0" applyBorder="1" applyProtection="1">
      <protection locked="0"/>
    </xf>
    <xf numFmtId="164" fontId="0" fillId="0" borderId="46" xfId="0" applyNumberFormat="1" applyBorder="1" applyProtection="1">
      <protection locked="0"/>
    </xf>
    <xf numFmtId="0" fontId="0" fillId="0" borderId="27" xfId="0" applyBorder="1" applyProtection="1">
      <protection locked="0"/>
    </xf>
    <xf numFmtId="164" fontId="0" fillId="0" borderId="44" xfId="0" applyNumberFormat="1" applyBorder="1" applyProtection="1">
      <protection locked="0"/>
    </xf>
    <xf numFmtId="0" fontId="0" fillId="0" borderId="5" xfId="0" applyBorder="1" applyProtection="1">
      <protection locked="0"/>
    </xf>
    <xf numFmtId="14" fontId="0" fillId="0" borderId="23" xfId="0" applyNumberFormat="1" applyBorder="1" applyProtection="1">
      <protection locked="0"/>
    </xf>
    <xf numFmtId="2" fontId="0" fillId="0" borderId="30" xfId="0" applyNumberFormat="1" applyBorder="1" applyProtection="1">
      <protection locked="0"/>
    </xf>
    <xf numFmtId="14" fontId="0" fillId="0" borderId="26" xfId="0" applyNumberFormat="1" applyBorder="1" applyProtection="1">
      <protection locked="0"/>
    </xf>
    <xf numFmtId="2" fontId="0" fillId="0" borderId="31" xfId="0" applyNumberFormat="1" applyBorder="1" applyProtection="1">
      <protection locked="0"/>
    </xf>
    <xf numFmtId="2" fontId="0" fillId="0" borderId="32" xfId="0" applyNumberFormat="1" applyBorder="1" applyProtection="1">
      <protection locked="0"/>
    </xf>
    <xf numFmtId="14" fontId="0" fillId="0" borderId="6" xfId="0" applyNumberFormat="1" applyBorder="1" applyProtection="1">
      <protection locked="0"/>
    </xf>
    <xf numFmtId="2" fontId="0" fillId="0" borderId="33" xfId="0" applyNumberFormat="1" applyBorder="1" applyProtection="1">
      <protection locked="0"/>
    </xf>
    <xf numFmtId="14" fontId="4" fillId="0" borderId="19" xfId="0" applyNumberFormat="1" applyFont="1" applyFill="1" applyBorder="1" applyAlignment="1" applyProtection="1">
      <protection locked="0"/>
    </xf>
    <xf numFmtId="14" fontId="4" fillId="0" borderId="19" xfId="0" applyNumberFormat="1" applyFont="1" applyFill="1" applyBorder="1" applyProtection="1">
      <protection locked="0"/>
    </xf>
    <xf numFmtId="0" fontId="3" fillId="15" borderId="13" xfId="0" applyFont="1" applyFill="1" applyBorder="1" applyAlignment="1">
      <alignment horizontal="center"/>
    </xf>
    <xf numFmtId="0" fontId="0" fillId="13" borderId="0" xfId="0" applyFill="1" applyBorder="1"/>
    <xf numFmtId="0" fontId="0" fillId="13" borderId="7" xfId="0" applyFill="1" applyBorder="1"/>
    <xf numFmtId="0" fontId="0" fillId="13" borderId="4" xfId="0" applyFill="1" applyBorder="1"/>
    <xf numFmtId="0" fontId="0" fillId="13" borderId="6" xfId="0" applyFill="1" applyBorder="1"/>
    <xf numFmtId="0" fontId="0" fillId="13" borderId="0" xfId="0" applyFill="1" applyBorder="1" applyAlignment="1">
      <alignment horizontal="center"/>
    </xf>
    <xf numFmtId="0" fontId="0" fillId="13" borderId="7" xfId="0" applyFill="1" applyBorder="1" applyAlignment="1"/>
    <xf numFmtId="0" fontId="2" fillId="13" borderId="2" xfId="0" applyFont="1" applyFill="1" applyBorder="1" applyAlignment="1"/>
    <xf numFmtId="0" fontId="2" fillId="13" borderId="2" xfId="0" applyFont="1" applyFill="1" applyBorder="1"/>
    <xf numFmtId="0" fontId="2" fillId="13" borderId="3" xfId="0" applyFont="1" applyFill="1" applyBorder="1" applyAlignment="1"/>
    <xf numFmtId="0" fontId="0" fillId="13" borderId="5" xfId="0" applyFill="1" applyBorder="1"/>
    <xf numFmtId="0" fontId="0" fillId="13" borderId="8" xfId="0" applyFill="1" applyBorder="1"/>
    <xf numFmtId="0" fontId="0" fillId="13" borderId="16" xfId="0" applyFill="1" applyBorder="1"/>
    <xf numFmtId="0" fontId="0" fillId="13" borderId="18" xfId="0" applyFill="1" applyBorder="1"/>
    <xf numFmtId="0" fontId="0" fillId="13" borderId="9" xfId="0" applyFill="1" applyBorder="1"/>
    <xf numFmtId="0" fontId="0" fillId="13" borderId="36" xfId="0" applyFill="1" applyBorder="1"/>
    <xf numFmtId="0" fontId="0" fillId="13" borderId="22" xfId="0" applyFill="1" applyBorder="1"/>
    <xf numFmtId="164" fontId="0" fillId="13" borderId="0" xfId="0" applyNumberFormat="1" applyFill="1" applyBorder="1"/>
    <xf numFmtId="0" fontId="0" fillId="13" borderId="25" xfId="0" applyFill="1" applyBorder="1"/>
    <xf numFmtId="0" fontId="0" fillId="13" borderId="38" xfId="0" applyFill="1" applyBorder="1"/>
    <xf numFmtId="0" fontId="0" fillId="13" borderId="41" xfId="0" applyFill="1" applyBorder="1"/>
    <xf numFmtId="0" fontId="0" fillId="13" borderId="37" xfId="0" applyFill="1" applyBorder="1"/>
    <xf numFmtId="0" fontId="0" fillId="13" borderId="42" xfId="0" applyFill="1" applyBorder="1" applyAlignment="1"/>
    <xf numFmtId="0" fontId="0" fillId="13" borderId="43" xfId="0" applyFill="1" applyBorder="1"/>
    <xf numFmtId="0" fontId="0" fillId="13" borderId="12" xfId="0" applyFill="1" applyBorder="1" applyAlignment="1">
      <alignment horizontal="center"/>
    </xf>
    <xf numFmtId="0" fontId="0" fillId="13" borderId="21" xfId="0" applyFill="1" applyBorder="1"/>
    <xf numFmtId="0" fontId="0" fillId="13" borderId="40" xfId="0" applyFill="1" applyBorder="1"/>
    <xf numFmtId="0" fontId="0" fillId="13" borderId="10" xfId="0" applyFill="1" applyBorder="1"/>
    <xf numFmtId="164" fontId="0" fillId="0" borderId="22" xfId="0" applyNumberFormat="1" applyFill="1" applyBorder="1" applyAlignment="1" applyProtection="1">
      <protection locked="0"/>
    </xf>
    <xf numFmtId="164" fontId="0" fillId="0" borderId="25" xfId="0" applyNumberFormat="1" applyFill="1" applyBorder="1" applyAlignment="1" applyProtection="1">
      <protection locked="0"/>
    </xf>
    <xf numFmtId="164" fontId="0" fillId="0" borderId="38" xfId="0" applyNumberFormat="1" applyFill="1" applyBorder="1" applyAlignment="1" applyProtection="1">
      <protection locked="0"/>
    </xf>
    <xf numFmtId="0" fontId="0" fillId="13" borderId="3" xfId="0" applyFill="1" applyBorder="1"/>
    <xf numFmtId="0" fontId="0" fillId="13" borderId="47" xfId="0" applyFill="1" applyBorder="1"/>
    <xf numFmtId="0" fontId="0" fillId="13" borderId="4" xfId="0" applyNumberFormat="1" applyFill="1" applyBorder="1"/>
    <xf numFmtId="0" fontId="0" fillId="13" borderId="0" xfId="0" applyNumberFormat="1" applyFill="1" applyBorder="1"/>
    <xf numFmtId="0" fontId="2" fillId="13" borderId="4" xfId="0" applyFont="1" applyFill="1" applyBorder="1"/>
    <xf numFmtId="2" fontId="0" fillId="13" borderId="7" xfId="0" applyNumberFormat="1" applyFill="1" applyBorder="1"/>
    <xf numFmtId="0" fontId="0" fillId="13" borderId="20" xfId="0" applyNumberFormat="1" applyFill="1" applyBorder="1" applyAlignment="1"/>
    <xf numFmtId="2" fontId="0" fillId="13" borderId="21" xfId="0" applyNumberFormat="1" applyFill="1" applyBorder="1" applyAlignment="1"/>
    <xf numFmtId="0" fontId="0" fillId="13" borderId="0" xfId="0" applyFill="1" applyBorder="1" applyAlignment="1"/>
    <xf numFmtId="0" fontId="0" fillId="13" borderId="0" xfId="0" applyNumberFormat="1" applyFill="1" applyBorder="1" applyAlignment="1"/>
    <xf numFmtId="2" fontId="0" fillId="13" borderId="0" xfId="0" applyNumberFormat="1" applyFill="1" applyBorder="1" applyAlignment="1"/>
    <xf numFmtId="0" fontId="2" fillId="13" borderId="2" xfId="0" applyNumberFormat="1" applyFont="1" applyFill="1" applyBorder="1"/>
    <xf numFmtId="0" fontId="2" fillId="13" borderId="2" xfId="0" applyNumberFormat="1" applyFont="1" applyFill="1" applyBorder="1" applyAlignment="1"/>
    <xf numFmtId="0" fontId="2" fillId="13" borderId="5" xfId="0" applyFont="1" applyFill="1" applyBorder="1" applyAlignment="1"/>
    <xf numFmtId="2" fontId="0" fillId="13" borderId="5" xfId="0" applyNumberFormat="1" applyFill="1" applyBorder="1" applyAlignment="1"/>
    <xf numFmtId="164" fontId="0" fillId="13" borderId="12" xfId="0" applyNumberFormat="1" applyFill="1" applyBorder="1"/>
    <xf numFmtId="0" fontId="0" fillId="13" borderId="20" xfId="0" applyFill="1" applyBorder="1"/>
    <xf numFmtId="14" fontId="0" fillId="13" borderId="0" xfId="0" applyNumberFormat="1" applyFill="1" applyBorder="1"/>
    <xf numFmtId="2" fontId="0" fillId="13" borderId="0" xfId="0" applyNumberFormat="1" applyFill="1" applyBorder="1" applyAlignment="1">
      <alignment horizontal="center"/>
    </xf>
    <xf numFmtId="164" fontId="0" fillId="13" borderId="0" xfId="0" applyNumberFormat="1" applyFill="1" applyBorder="1" applyAlignment="1">
      <alignment horizontal="center"/>
    </xf>
    <xf numFmtId="14" fontId="0" fillId="13" borderId="0" xfId="0" applyNumberFormat="1" applyFill="1" applyBorder="1" applyAlignment="1">
      <alignment horizontal="center"/>
    </xf>
    <xf numFmtId="0" fontId="0" fillId="13" borderId="0" xfId="0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10" fontId="0" fillId="13" borderId="0" xfId="0" applyNumberFormat="1" applyFill="1" applyBorder="1" applyAlignment="1">
      <alignment horizontal="center"/>
    </xf>
    <xf numFmtId="9" fontId="0" fillId="13" borderId="0" xfId="0" applyNumberFormat="1" applyFill="1" applyBorder="1" applyAlignment="1">
      <alignment horizontal="center"/>
    </xf>
    <xf numFmtId="0" fontId="0" fillId="13" borderId="49" xfId="0" applyFill="1" applyBorder="1"/>
    <xf numFmtId="0" fontId="0" fillId="15" borderId="53" xfId="0" applyFill="1" applyBorder="1"/>
    <xf numFmtId="0" fontId="0" fillId="13" borderId="58" xfId="0" applyFill="1" applyBorder="1"/>
    <xf numFmtId="0" fontId="0" fillId="13" borderId="59" xfId="0" applyFill="1" applyBorder="1"/>
    <xf numFmtId="0" fontId="2" fillId="13" borderId="62" xfId="0" applyFont="1" applyFill="1" applyBorder="1"/>
    <xf numFmtId="0" fontId="2" fillId="13" borderId="62" xfId="0" applyFont="1" applyFill="1" applyBorder="1" applyAlignment="1"/>
    <xf numFmtId="0" fontId="0" fillId="13" borderId="63" xfId="0" applyFill="1" applyBorder="1"/>
    <xf numFmtId="0" fontId="2" fillId="11" borderId="66" xfId="0" applyFont="1" applyFill="1" applyBorder="1" applyAlignment="1">
      <alignment horizontal="center" vertical="center"/>
    </xf>
    <xf numFmtId="0" fontId="0" fillId="13" borderId="67" xfId="0" applyFill="1" applyBorder="1"/>
    <xf numFmtId="164" fontId="0" fillId="10" borderId="4" xfId="0" applyNumberFormat="1" applyFill="1" applyBorder="1"/>
    <xf numFmtId="0" fontId="2" fillId="12" borderId="6" xfId="0" applyFont="1" applyFill="1" applyBorder="1" applyAlignment="1"/>
    <xf numFmtId="14" fontId="2" fillId="12" borderId="33" xfId="0" applyNumberFormat="1" applyFont="1" applyFill="1" applyBorder="1" applyAlignment="1"/>
    <xf numFmtId="164" fontId="0" fillId="13" borderId="0" xfId="1" applyNumberFormat="1" applyFont="1" applyFill="1" applyBorder="1" applyProtection="1"/>
    <xf numFmtId="164" fontId="0" fillId="13" borderId="0" xfId="0" applyNumberFormat="1" applyFill="1" applyBorder="1" applyProtection="1"/>
    <xf numFmtId="0" fontId="13" fillId="13" borderId="1" xfId="0" applyFont="1" applyFill="1" applyBorder="1" applyAlignment="1">
      <alignment wrapText="1"/>
    </xf>
    <xf numFmtId="0" fontId="13" fillId="13" borderId="2" xfId="0" applyFont="1" applyFill="1" applyBorder="1" applyAlignment="1">
      <alignment wrapText="1"/>
    </xf>
    <xf numFmtId="0" fontId="16" fillId="13" borderId="1" xfId="0" applyFont="1" applyFill="1" applyBorder="1" applyAlignment="1">
      <alignment horizontal="center" vertical="center" wrapText="1"/>
    </xf>
    <xf numFmtId="0" fontId="16" fillId="13" borderId="3" xfId="0" applyFont="1" applyFill="1" applyBorder="1" applyAlignment="1">
      <alignment horizontal="center" vertical="center" wrapText="1"/>
    </xf>
    <xf numFmtId="0" fontId="16" fillId="13" borderId="4" xfId="0" applyFont="1" applyFill="1" applyBorder="1" applyAlignment="1">
      <alignment horizontal="center" vertical="center" wrapText="1"/>
    </xf>
    <xf numFmtId="0" fontId="16" fillId="13" borderId="5" xfId="0" applyFont="1" applyFill="1" applyBorder="1" applyAlignment="1">
      <alignment horizontal="center" vertical="center" wrapText="1"/>
    </xf>
    <xf numFmtId="0" fontId="16" fillId="13" borderId="6" xfId="0" applyFont="1" applyFill="1" applyBorder="1" applyAlignment="1">
      <alignment horizontal="center" vertical="center" wrapText="1"/>
    </xf>
    <xf numFmtId="0" fontId="16" fillId="13" borderId="8" xfId="0" applyFont="1" applyFill="1" applyBorder="1" applyAlignment="1">
      <alignment horizontal="center" vertical="center" wrapText="1"/>
    </xf>
    <xf numFmtId="0" fontId="0" fillId="13" borderId="4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4" xfId="0" applyFill="1" applyBorder="1" applyAlignment="1">
      <alignment horizontal="center" wrapText="1"/>
    </xf>
    <xf numFmtId="0" fontId="0" fillId="13" borderId="5" xfId="0" applyFill="1" applyBorder="1" applyAlignment="1">
      <alignment horizontal="center" wrapText="1"/>
    </xf>
    <xf numFmtId="0" fontId="0" fillId="13" borderId="6" xfId="0" applyFill="1" applyBorder="1" applyAlignment="1">
      <alignment horizontal="center" wrapText="1"/>
    </xf>
    <xf numFmtId="0" fontId="0" fillId="13" borderId="8" xfId="0" applyFill="1" applyBorder="1" applyAlignment="1">
      <alignment horizontal="center" wrapText="1"/>
    </xf>
    <xf numFmtId="0" fontId="0" fillId="18" borderId="10" xfId="0" applyFill="1" applyBorder="1" applyAlignment="1">
      <alignment horizontal="center"/>
    </xf>
    <xf numFmtId="0" fontId="0" fillId="18" borderId="12" xfId="0" applyFill="1" applyBorder="1" applyAlignment="1">
      <alignment horizont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" fillId="13" borderId="4" xfId="0" applyFont="1" applyFill="1" applyBorder="1" applyAlignment="1">
      <alignment horizontal="center"/>
    </xf>
    <xf numFmtId="0" fontId="2" fillId="13" borderId="0" xfId="0" applyFont="1" applyFill="1" applyBorder="1" applyAlignment="1">
      <alignment horizontal="center"/>
    </xf>
    <xf numFmtId="0" fontId="2" fillId="13" borderId="5" xfId="0" applyFont="1" applyFill="1" applyBorder="1" applyAlignment="1">
      <alignment horizont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164" fontId="3" fillId="13" borderId="1" xfId="1" applyNumberFormat="1" applyFont="1" applyFill="1" applyBorder="1" applyAlignment="1">
      <alignment horizontal="center"/>
    </xf>
    <xf numFmtId="164" fontId="3" fillId="13" borderId="2" xfId="1" applyNumberFormat="1" applyFont="1" applyFill="1" applyBorder="1" applyAlignment="1">
      <alignment horizontal="center"/>
    </xf>
    <xf numFmtId="164" fontId="3" fillId="13" borderId="3" xfId="1" applyNumberFormat="1" applyFont="1" applyFill="1" applyBorder="1" applyAlignment="1">
      <alignment horizontal="center"/>
    </xf>
    <xf numFmtId="0" fontId="5" fillId="12" borderId="10" xfId="0" applyFont="1" applyFill="1" applyBorder="1" applyAlignment="1">
      <alignment horizontal="center"/>
    </xf>
    <xf numFmtId="0" fontId="5" fillId="12" borderId="12" xfId="0" applyFont="1" applyFill="1" applyBorder="1" applyAlignment="1">
      <alignment horizontal="center"/>
    </xf>
    <xf numFmtId="0" fontId="3" fillId="8" borderId="35" xfId="0" applyFont="1" applyFill="1" applyBorder="1" applyAlignment="1">
      <alignment horizontal="center"/>
    </xf>
    <xf numFmtId="0" fontId="3" fillId="8" borderId="14" xfId="0" applyFont="1" applyFill="1" applyBorder="1" applyAlignment="1">
      <alignment horizontal="center"/>
    </xf>
    <xf numFmtId="164" fontId="11" fillId="8" borderId="1" xfId="0" applyNumberFormat="1" applyFont="1" applyFill="1" applyBorder="1" applyAlignment="1" applyProtection="1">
      <alignment horizontal="center" vertical="center"/>
    </xf>
    <xf numFmtId="164" fontId="11" fillId="8" borderId="3" xfId="0" applyNumberFormat="1" applyFont="1" applyFill="1" applyBorder="1" applyAlignment="1" applyProtection="1">
      <alignment horizontal="center" vertical="center"/>
    </xf>
    <xf numFmtId="164" fontId="11" fillId="8" borderId="4" xfId="0" applyNumberFormat="1" applyFont="1" applyFill="1" applyBorder="1" applyAlignment="1" applyProtection="1">
      <alignment horizontal="center" vertical="center"/>
    </xf>
    <xf numFmtId="164" fontId="11" fillId="8" borderId="5" xfId="0" applyNumberFormat="1" applyFont="1" applyFill="1" applyBorder="1" applyAlignment="1" applyProtection="1">
      <alignment horizontal="center" vertical="center"/>
    </xf>
    <xf numFmtId="164" fontId="11" fillId="8" borderId="6" xfId="0" applyNumberFormat="1" applyFont="1" applyFill="1" applyBorder="1" applyAlignment="1" applyProtection="1">
      <alignment horizontal="center" vertical="center"/>
    </xf>
    <xf numFmtId="164" fontId="11" fillId="8" borderId="8" xfId="0" applyNumberFormat="1" applyFont="1" applyFill="1" applyBorder="1" applyAlignment="1" applyProtection="1">
      <alignment horizontal="center" vertical="center"/>
    </xf>
    <xf numFmtId="164" fontId="17" fillId="19" borderId="69" xfId="1" applyNumberFormat="1" applyFont="1" applyFill="1" applyBorder="1" applyAlignment="1" applyProtection="1">
      <alignment horizontal="center"/>
      <protection locked="0"/>
    </xf>
    <xf numFmtId="164" fontId="17" fillId="19" borderId="70" xfId="1" applyNumberFormat="1" applyFont="1" applyFill="1" applyBorder="1" applyAlignment="1" applyProtection="1">
      <alignment horizontal="center"/>
      <protection locked="0"/>
    </xf>
    <xf numFmtId="164" fontId="17" fillId="19" borderId="71" xfId="1" applyNumberFormat="1" applyFont="1" applyFill="1" applyBorder="1" applyAlignment="1" applyProtection="1">
      <alignment horizontal="center"/>
      <protection locked="0"/>
    </xf>
    <xf numFmtId="0" fontId="9" fillId="4" borderId="68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2" fillId="2" borderId="72" xfId="0" applyFont="1" applyFill="1" applyBorder="1" applyAlignment="1">
      <alignment horizontal="center" vertical="center" wrapText="1"/>
    </xf>
    <xf numFmtId="0" fontId="2" fillId="2" borderId="73" xfId="0" applyFont="1" applyFill="1" applyBorder="1" applyAlignment="1">
      <alignment horizontal="center" vertical="center" wrapText="1"/>
    </xf>
    <xf numFmtId="0" fontId="0" fillId="17" borderId="10" xfId="0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64" fontId="0" fillId="13" borderId="39" xfId="0" applyNumberFormat="1" applyFill="1" applyBorder="1" applyAlignment="1">
      <alignment horizontal="center"/>
    </xf>
    <xf numFmtId="164" fontId="0" fillId="13" borderId="12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12" borderId="10" xfId="0" applyNumberFormat="1" applyFont="1" applyFill="1" applyBorder="1" applyAlignment="1">
      <alignment horizontal="center" vertical="center"/>
    </xf>
    <xf numFmtId="0" fontId="6" fillId="12" borderId="11" xfId="0" applyNumberFormat="1" applyFont="1" applyFill="1" applyBorder="1" applyAlignment="1">
      <alignment horizontal="center" vertical="center"/>
    </xf>
    <xf numFmtId="0" fontId="6" fillId="12" borderId="12" xfId="0" applyNumberFormat="1" applyFont="1" applyFill="1" applyBorder="1" applyAlignment="1">
      <alignment horizontal="center" vertical="center"/>
    </xf>
    <xf numFmtId="0" fontId="5" fillId="12" borderId="10" xfId="0" applyNumberFormat="1" applyFont="1" applyFill="1" applyBorder="1" applyAlignment="1">
      <alignment horizontal="center"/>
    </xf>
    <xf numFmtId="0" fontId="5" fillId="12" borderId="12" xfId="0" applyNumberFormat="1" applyFont="1" applyFill="1" applyBorder="1" applyAlignment="1">
      <alignment horizontal="center"/>
    </xf>
    <xf numFmtId="164" fontId="0" fillId="8" borderId="10" xfId="0" applyNumberFormat="1" applyFill="1" applyBorder="1" applyAlignment="1">
      <alignment horizontal="center"/>
    </xf>
    <xf numFmtId="164" fontId="0" fillId="8" borderId="12" xfId="0" applyNumberFormat="1" applyFill="1" applyBorder="1" applyAlignment="1">
      <alignment horizontal="center"/>
    </xf>
    <xf numFmtId="14" fontId="0" fillId="0" borderId="4" xfId="0" applyNumberFormat="1" applyFill="1" applyBorder="1" applyAlignment="1" applyProtection="1">
      <alignment horizontal="center"/>
      <protection locked="0"/>
    </xf>
    <xf numFmtId="14" fontId="0" fillId="0" borderId="5" xfId="0" applyNumberFormat="1" applyFill="1" applyBorder="1" applyAlignment="1" applyProtection="1">
      <alignment horizontal="center"/>
      <protection locked="0"/>
    </xf>
    <xf numFmtId="164" fontId="0" fillId="0" borderId="26" xfId="0" applyNumberFormat="1" applyFill="1" applyBorder="1" applyAlignment="1" applyProtection="1">
      <alignment horizontal="center"/>
      <protection locked="0"/>
    </xf>
    <xf numFmtId="164" fontId="0" fillId="0" borderId="27" xfId="0" applyNumberFormat="1" applyFill="1" applyBorder="1" applyAlignment="1" applyProtection="1">
      <alignment horizontal="center"/>
      <protection locked="0"/>
    </xf>
    <xf numFmtId="2" fontId="0" fillId="13" borderId="23" xfId="0" applyNumberFormat="1" applyFill="1" applyBorder="1" applyAlignment="1">
      <alignment horizontal="center"/>
    </xf>
    <xf numFmtId="2" fontId="0" fillId="13" borderId="24" xfId="0" applyNumberFormat="1" applyFill="1" applyBorder="1" applyAlignment="1">
      <alignment horizontal="center"/>
    </xf>
    <xf numFmtId="0" fontId="3" fillId="16" borderId="36" xfId="0" applyFont="1" applyFill="1" applyBorder="1" applyAlignment="1">
      <alignment horizontal="center"/>
    </xf>
    <xf numFmtId="0" fontId="3" fillId="16" borderId="16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14" fontId="0" fillId="13" borderId="10" xfId="0" applyNumberFormat="1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164" fontId="0" fillId="13" borderId="4" xfId="0" applyNumberFormat="1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164" fontId="0" fillId="13" borderId="6" xfId="0" applyNumberFormat="1" applyFill="1" applyBorder="1" applyAlignment="1">
      <alignment horizontal="center"/>
    </xf>
    <xf numFmtId="0" fontId="0" fillId="13" borderId="57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164" fontId="0" fillId="13" borderId="23" xfId="0" applyNumberFormat="1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0" fontId="0" fillId="13" borderId="55" xfId="0" applyFill="1" applyBorder="1" applyAlignment="1">
      <alignment horizontal="center"/>
    </xf>
    <xf numFmtId="9" fontId="0" fillId="0" borderId="6" xfId="0" applyNumberFormat="1" applyBorder="1" applyAlignment="1" applyProtection="1">
      <alignment horizontal="center"/>
      <protection locked="0"/>
    </xf>
    <xf numFmtId="9" fontId="0" fillId="0" borderId="8" xfId="0" applyNumberFormat="1" applyBorder="1" applyAlignment="1" applyProtection="1">
      <alignment horizontal="center"/>
      <protection locked="0"/>
    </xf>
    <xf numFmtId="9" fontId="0" fillId="0" borderId="57" xfId="0" applyNumberFormat="1" applyBorder="1" applyAlignment="1" applyProtection="1">
      <alignment horizontal="center"/>
      <protection locked="0"/>
    </xf>
    <xf numFmtId="164" fontId="0" fillId="0" borderId="23" xfId="0" applyNumberFormat="1" applyBorder="1" applyAlignment="1" applyProtection="1">
      <alignment horizontal="center"/>
      <protection locked="0"/>
    </xf>
    <xf numFmtId="164" fontId="0" fillId="0" borderId="24" xfId="0" applyNumberFormat="1" applyBorder="1" applyAlignment="1" applyProtection="1">
      <alignment horizontal="center"/>
      <protection locked="0"/>
    </xf>
    <xf numFmtId="164" fontId="0" fillId="0" borderId="55" xfId="0" applyNumberFormat="1" applyBorder="1" applyAlignment="1" applyProtection="1">
      <alignment horizontal="center"/>
      <protection locked="0"/>
    </xf>
    <xf numFmtId="164" fontId="0" fillId="13" borderId="5" xfId="0" applyNumberFormat="1" applyFill="1" applyBorder="1" applyAlignment="1">
      <alignment horizontal="center"/>
    </xf>
    <xf numFmtId="164" fontId="0" fillId="13" borderId="49" xfId="0" applyNumberFormat="1" applyFill="1" applyBorder="1" applyAlignment="1">
      <alignment horizontal="center"/>
    </xf>
    <xf numFmtId="164" fontId="0" fillId="13" borderId="26" xfId="0" applyNumberFormat="1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0" fontId="0" fillId="13" borderId="56" xfId="0" applyFill="1" applyBorder="1" applyAlignment="1">
      <alignment horizontal="center"/>
    </xf>
    <xf numFmtId="10" fontId="0" fillId="13" borderId="23" xfId="0" applyNumberFormat="1" applyFill="1" applyBorder="1" applyAlignment="1">
      <alignment horizontal="center"/>
    </xf>
    <xf numFmtId="10" fontId="0" fillId="13" borderId="24" xfId="0" applyNumberFormat="1" applyFill="1" applyBorder="1" applyAlignment="1">
      <alignment horizontal="center"/>
    </xf>
    <xf numFmtId="164" fontId="0" fillId="13" borderId="10" xfId="0" applyNumberFormat="1" applyFill="1" applyBorder="1" applyAlignment="1">
      <alignment horizontal="center"/>
    </xf>
    <xf numFmtId="164" fontId="0" fillId="13" borderId="54" xfId="0" applyNumberFormat="1" applyFill="1" applyBorder="1" applyAlignment="1">
      <alignment horizontal="center"/>
    </xf>
    <xf numFmtId="0" fontId="6" fillId="12" borderId="50" xfId="0" applyFont="1" applyFill="1" applyBorder="1" applyAlignment="1">
      <alignment horizontal="center" vertical="center"/>
    </xf>
    <xf numFmtId="0" fontId="6" fillId="12" borderId="51" xfId="0" applyFont="1" applyFill="1" applyBorder="1" applyAlignment="1">
      <alignment horizontal="center" vertical="center"/>
    </xf>
    <xf numFmtId="0" fontId="6" fillId="12" borderId="61" xfId="0" applyFont="1" applyFill="1" applyBorder="1" applyAlignment="1">
      <alignment horizontal="center" vertical="center"/>
    </xf>
    <xf numFmtId="0" fontId="6" fillId="12" borderId="52" xfId="0" applyFont="1" applyFill="1" applyBorder="1" applyAlignment="1">
      <alignment horizontal="center" vertical="center"/>
    </xf>
    <xf numFmtId="0" fontId="2" fillId="7" borderId="65" xfId="0" applyFont="1" applyFill="1" applyBorder="1" applyAlignment="1">
      <alignment horizontal="center"/>
    </xf>
    <xf numFmtId="0" fontId="2" fillId="7" borderId="48" xfId="0" applyFont="1" applyFill="1" applyBorder="1" applyAlignment="1">
      <alignment horizontal="center"/>
    </xf>
    <xf numFmtId="0" fontId="2" fillId="8" borderId="65" xfId="0" applyFont="1" applyFill="1" applyBorder="1" applyAlignment="1">
      <alignment horizontal="center"/>
    </xf>
    <xf numFmtId="0" fontId="2" fillId="8" borderId="48" xfId="0" applyFont="1" applyFill="1" applyBorder="1" applyAlignment="1">
      <alignment horizontal="center"/>
    </xf>
    <xf numFmtId="0" fontId="0" fillId="2" borderId="6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12" borderId="60" xfId="0" applyFont="1" applyFill="1" applyBorder="1" applyAlignment="1">
      <alignment horizontal="center"/>
    </xf>
    <xf numFmtId="0" fontId="5" fillId="12" borderId="61" xfId="0" applyFont="1" applyFill="1" applyBorder="1" applyAlignment="1">
      <alignment horizontal="center"/>
    </xf>
    <xf numFmtId="0" fontId="3" fillId="15" borderId="64" xfId="0" applyFont="1" applyFill="1" applyBorder="1" applyAlignment="1">
      <alignment horizontal="center"/>
    </xf>
    <xf numFmtId="0" fontId="3" fillId="15" borderId="13" xfId="0" applyFont="1" applyFill="1" applyBorder="1" applyAlignment="1">
      <alignment horizontal="center"/>
    </xf>
    <xf numFmtId="0" fontId="2" fillId="4" borderId="65" xfId="0" applyFont="1" applyFill="1" applyBorder="1" applyAlignment="1">
      <alignment horizontal="center"/>
    </xf>
    <xf numFmtId="0" fontId="2" fillId="4" borderId="48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5" borderId="65" xfId="0" applyFont="1" applyFill="1" applyBorder="1" applyAlignment="1">
      <alignment horizontal="center"/>
    </xf>
    <xf numFmtId="0" fontId="2" fillId="5" borderId="48" xfId="0" applyFont="1" applyFill="1" applyBorder="1" applyAlignment="1">
      <alignment horizontal="center"/>
    </xf>
    <xf numFmtId="0" fontId="2" fillId="6" borderId="65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" fillId="2" borderId="65" xfId="0" applyFont="1" applyFill="1" applyBorder="1" applyAlignment="1">
      <alignment horizontal="center"/>
    </xf>
    <xf numFmtId="0" fontId="2" fillId="2" borderId="48" xfId="0" applyFont="1" applyFill="1" applyBorder="1" applyAlignment="1">
      <alignment horizontal="center"/>
    </xf>
    <xf numFmtId="0" fontId="7" fillId="18" borderId="1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7" fillId="18" borderId="3" xfId="0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0" fontId="7" fillId="18" borderId="7" xfId="0" applyFont="1" applyFill="1" applyBorder="1" applyAlignment="1">
      <alignment horizontal="center" vertical="center"/>
    </xf>
    <xf numFmtId="0" fontId="7" fillId="18" borderId="8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top" wrapText="1"/>
    </xf>
    <xf numFmtId="0" fontId="18" fillId="13" borderId="3" xfId="0" applyFont="1" applyFill="1" applyBorder="1" applyAlignment="1">
      <alignment horizontal="center" vertical="top" wrapText="1"/>
    </xf>
    <xf numFmtId="0" fontId="18" fillId="13" borderId="4" xfId="0" applyFont="1" applyFill="1" applyBorder="1" applyAlignment="1">
      <alignment horizontal="center" vertical="top" wrapText="1"/>
    </xf>
    <xf numFmtId="0" fontId="18" fillId="13" borderId="5" xfId="0" applyFont="1" applyFill="1" applyBorder="1" applyAlignment="1">
      <alignment horizontal="center" vertical="top" wrapText="1"/>
    </xf>
    <xf numFmtId="0" fontId="18" fillId="13" borderId="36" xfId="0" applyFont="1" applyFill="1" applyBorder="1" applyAlignment="1">
      <alignment horizontal="center" vertical="top" wrapText="1"/>
    </xf>
    <xf numFmtId="0" fontId="18" fillId="13" borderId="47" xfId="0" applyFont="1" applyFill="1" applyBorder="1" applyAlignment="1">
      <alignment horizontal="center" vertical="top" wrapText="1"/>
    </xf>
    <xf numFmtId="0" fontId="0" fillId="13" borderId="1" xfId="0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0" fillId="13" borderId="8" xfId="0" applyFill="1" applyBorder="1" applyAlignment="1">
      <alignment horizontal="center" vertical="center" wrapText="1"/>
    </xf>
    <xf numFmtId="0" fontId="19" fillId="13" borderId="1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19" fillId="13" borderId="6" xfId="0" applyFont="1" applyFill="1" applyBorder="1" applyAlignment="1">
      <alignment horizontal="center" vertical="center" wrapText="1"/>
    </xf>
    <xf numFmtId="0" fontId="19" fillId="13" borderId="8" xfId="0" applyFont="1" applyFill="1" applyBorder="1" applyAlignment="1">
      <alignment horizontal="center" vertical="center" wrapText="1"/>
    </xf>
    <xf numFmtId="0" fontId="21" fillId="7" borderId="1" xfId="2" applyFill="1" applyBorder="1" applyAlignment="1">
      <alignment horizontal="center" vertical="center" wrapText="1"/>
    </xf>
    <xf numFmtId="0" fontId="21" fillId="7" borderId="3" xfId="2" applyFill="1" applyBorder="1" applyAlignment="1">
      <alignment horizontal="center" vertical="center" wrapText="1"/>
    </xf>
    <xf numFmtId="0" fontId="21" fillId="7" borderId="6" xfId="2" applyFill="1" applyBorder="1" applyAlignment="1">
      <alignment horizontal="center" vertical="center" wrapText="1"/>
    </xf>
    <xf numFmtId="0" fontId="21" fillId="7" borderId="8" xfId="2" applyFill="1" applyBorder="1" applyAlignment="1">
      <alignment horizontal="center" vertical="center" wrapText="1"/>
    </xf>
  </cellXfs>
  <cellStyles count="3">
    <cellStyle name="Currency" xfId="1" builtinId="4"/>
    <cellStyle name="Hyperlink" xfId="2" builtinId="8"/>
    <cellStyle name="Normal" xfId="0" builtinId="0"/>
  </cellStyles>
  <dxfs count="166"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numFmt numFmtId="164" formatCode="&quot;$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  <border diagonalUp="0" diagonalDown="0" outline="0">
        <left/>
        <right style="medium">
          <color indexed="64"/>
        </right>
        <top/>
        <bottom/>
      </border>
    </dxf>
    <dxf>
      <numFmt numFmtId="164" formatCode="&quot;$&quot;#,##0.00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64" formatCode="&quot;$&quot;#,##0.00"/>
      <protection locked="0" hidden="0"/>
    </dxf>
    <dxf>
      <numFmt numFmtId="164" formatCode="&quot;$&quot;#,##0.00"/>
      <fill>
        <patternFill patternType="solid">
          <fgColor indexed="64"/>
          <bgColor theme="7" tint="0.59999389629810485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9" formatCode="m/d/yyyy"/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'Checking Status'!$C$46</c:f>
              <c:strCache>
                <c:ptCount val="1"/>
                <c:pt idx="0">
                  <c:v>Daily Amount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'Checking Status'!$B$47:$B$410</c:f>
              <c:numCache>
                <c:formatCode>m/d/yyyy</c:formatCode>
                <c:ptCount val="364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43497</c:v>
                </c:pt>
                <c:pt idx="31">
                  <c:v>43498</c:v>
                </c:pt>
                <c:pt idx="32">
                  <c:v>43499</c:v>
                </c:pt>
                <c:pt idx="33">
                  <c:v>43500</c:v>
                </c:pt>
                <c:pt idx="34">
                  <c:v>43501</c:v>
                </c:pt>
                <c:pt idx="35">
                  <c:v>43502</c:v>
                </c:pt>
                <c:pt idx="36">
                  <c:v>43503</c:v>
                </c:pt>
                <c:pt idx="37">
                  <c:v>43504</c:v>
                </c:pt>
                <c:pt idx="38">
                  <c:v>43505</c:v>
                </c:pt>
                <c:pt idx="39">
                  <c:v>43506</c:v>
                </c:pt>
                <c:pt idx="40">
                  <c:v>43507</c:v>
                </c:pt>
                <c:pt idx="41">
                  <c:v>43508</c:v>
                </c:pt>
                <c:pt idx="42">
                  <c:v>43509</c:v>
                </c:pt>
                <c:pt idx="43">
                  <c:v>43510</c:v>
                </c:pt>
                <c:pt idx="44">
                  <c:v>43511</c:v>
                </c:pt>
                <c:pt idx="45">
                  <c:v>43512</c:v>
                </c:pt>
                <c:pt idx="46">
                  <c:v>43513</c:v>
                </c:pt>
                <c:pt idx="47">
                  <c:v>43514</c:v>
                </c:pt>
                <c:pt idx="48">
                  <c:v>43515</c:v>
                </c:pt>
                <c:pt idx="49">
                  <c:v>43516</c:v>
                </c:pt>
                <c:pt idx="50">
                  <c:v>43517</c:v>
                </c:pt>
                <c:pt idx="51">
                  <c:v>43518</c:v>
                </c:pt>
                <c:pt idx="52">
                  <c:v>43519</c:v>
                </c:pt>
                <c:pt idx="53">
                  <c:v>43520</c:v>
                </c:pt>
                <c:pt idx="54">
                  <c:v>43521</c:v>
                </c:pt>
                <c:pt idx="55">
                  <c:v>43522</c:v>
                </c:pt>
                <c:pt idx="56">
                  <c:v>43523</c:v>
                </c:pt>
                <c:pt idx="57">
                  <c:v>43524</c:v>
                </c:pt>
                <c:pt idx="58">
                  <c:v>43525</c:v>
                </c:pt>
                <c:pt idx="59">
                  <c:v>43526</c:v>
                </c:pt>
                <c:pt idx="60">
                  <c:v>43527</c:v>
                </c:pt>
                <c:pt idx="61">
                  <c:v>43528</c:v>
                </c:pt>
                <c:pt idx="62">
                  <c:v>43529</c:v>
                </c:pt>
                <c:pt idx="63">
                  <c:v>43530</c:v>
                </c:pt>
                <c:pt idx="64">
                  <c:v>43531</c:v>
                </c:pt>
                <c:pt idx="65">
                  <c:v>43532</c:v>
                </c:pt>
                <c:pt idx="66">
                  <c:v>43533</c:v>
                </c:pt>
                <c:pt idx="67">
                  <c:v>43534</c:v>
                </c:pt>
                <c:pt idx="68">
                  <c:v>43535</c:v>
                </c:pt>
                <c:pt idx="69">
                  <c:v>43536</c:v>
                </c:pt>
                <c:pt idx="70">
                  <c:v>43537</c:v>
                </c:pt>
                <c:pt idx="71">
                  <c:v>43538</c:v>
                </c:pt>
                <c:pt idx="72">
                  <c:v>43539</c:v>
                </c:pt>
                <c:pt idx="73">
                  <c:v>43540</c:v>
                </c:pt>
                <c:pt idx="74">
                  <c:v>43541</c:v>
                </c:pt>
                <c:pt idx="75">
                  <c:v>43542</c:v>
                </c:pt>
                <c:pt idx="76">
                  <c:v>43543</c:v>
                </c:pt>
                <c:pt idx="77">
                  <c:v>43544</c:v>
                </c:pt>
                <c:pt idx="78">
                  <c:v>43545</c:v>
                </c:pt>
                <c:pt idx="79">
                  <c:v>43546</c:v>
                </c:pt>
                <c:pt idx="80">
                  <c:v>43547</c:v>
                </c:pt>
                <c:pt idx="81">
                  <c:v>43548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43554</c:v>
                </c:pt>
                <c:pt idx="88">
                  <c:v>43555</c:v>
                </c:pt>
                <c:pt idx="89">
                  <c:v>43556</c:v>
                </c:pt>
                <c:pt idx="90">
                  <c:v>43557</c:v>
                </c:pt>
                <c:pt idx="91">
                  <c:v>43558</c:v>
                </c:pt>
                <c:pt idx="92">
                  <c:v>43559</c:v>
                </c:pt>
                <c:pt idx="93">
                  <c:v>43560</c:v>
                </c:pt>
                <c:pt idx="94">
                  <c:v>43561</c:v>
                </c:pt>
                <c:pt idx="95">
                  <c:v>43562</c:v>
                </c:pt>
                <c:pt idx="96">
                  <c:v>43563</c:v>
                </c:pt>
                <c:pt idx="97">
                  <c:v>43564</c:v>
                </c:pt>
                <c:pt idx="98">
                  <c:v>43565</c:v>
                </c:pt>
                <c:pt idx="99">
                  <c:v>43566</c:v>
                </c:pt>
                <c:pt idx="100">
                  <c:v>43567</c:v>
                </c:pt>
                <c:pt idx="101">
                  <c:v>43568</c:v>
                </c:pt>
                <c:pt idx="102">
                  <c:v>43569</c:v>
                </c:pt>
                <c:pt idx="103">
                  <c:v>43570</c:v>
                </c:pt>
                <c:pt idx="104">
                  <c:v>43571</c:v>
                </c:pt>
                <c:pt idx="105">
                  <c:v>43572</c:v>
                </c:pt>
                <c:pt idx="106">
                  <c:v>43573</c:v>
                </c:pt>
                <c:pt idx="107">
                  <c:v>43574</c:v>
                </c:pt>
                <c:pt idx="108">
                  <c:v>43575</c:v>
                </c:pt>
                <c:pt idx="109">
                  <c:v>43576</c:v>
                </c:pt>
                <c:pt idx="110">
                  <c:v>43577</c:v>
                </c:pt>
                <c:pt idx="111">
                  <c:v>43578</c:v>
                </c:pt>
                <c:pt idx="112">
                  <c:v>43579</c:v>
                </c:pt>
                <c:pt idx="113">
                  <c:v>43580</c:v>
                </c:pt>
                <c:pt idx="114">
                  <c:v>43581</c:v>
                </c:pt>
                <c:pt idx="115">
                  <c:v>43582</c:v>
                </c:pt>
                <c:pt idx="116">
                  <c:v>43583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43589</c:v>
                </c:pt>
                <c:pt idx="123">
                  <c:v>43590</c:v>
                </c:pt>
                <c:pt idx="124">
                  <c:v>43591</c:v>
                </c:pt>
                <c:pt idx="125">
                  <c:v>43592</c:v>
                </c:pt>
                <c:pt idx="126">
                  <c:v>43593</c:v>
                </c:pt>
                <c:pt idx="127">
                  <c:v>43594</c:v>
                </c:pt>
                <c:pt idx="128">
                  <c:v>43595</c:v>
                </c:pt>
                <c:pt idx="129">
                  <c:v>43596</c:v>
                </c:pt>
                <c:pt idx="130">
                  <c:v>43597</c:v>
                </c:pt>
                <c:pt idx="131">
                  <c:v>43598</c:v>
                </c:pt>
                <c:pt idx="132">
                  <c:v>43599</c:v>
                </c:pt>
                <c:pt idx="133">
                  <c:v>43600</c:v>
                </c:pt>
                <c:pt idx="134">
                  <c:v>43601</c:v>
                </c:pt>
                <c:pt idx="135">
                  <c:v>43602</c:v>
                </c:pt>
                <c:pt idx="136">
                  <c:v>43603</c:v>
                </c:pt>
                <c:pt idx="137">
                  <c:v>43604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43610</c:v>
                </c:pt>
                <c:pt idx="144">
                  <c:v>43611</c:v>
                </c:pt>
                <c:pt idx="145">
                  <c:v>43612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43617</c:v>
                </c:pt>
                <c:pt idx="151">
                  <c:v>43618</c:v>
                </c:pt>
                <c:pt idx="152">
                  <c:v>43619</c:v>
                </c:pt>
                <c:pt idx="153">
                  <c:v>43620</c:v>
                </c:pt>
                <c:pt idx="154">
                  <c:v>43621</c:v>
                </c:pt>
                <c:pt idx="155">
                  <c:v>43622</c:v>
                </c:pt>
                <c:pt idx="156">
                  <c:v>43623</c:v>
                </c:pt>
                <c:pt idx="157">
                  <c:v>43624</c:v>
                </c:pt>
                <c:pt idx="158">
                  <c:v>43625</c:v>
                </c:pt>
                <c:pt idx="159">
                  <c:v>43626</c:v>
                </c:pt>
                <c:pt idx="160">
                  <c:v>43627</c:v>
                </c:pt>
                <c:pt idx="161">
                  <c:v>43628</c:v>
                </c:pt>
                <c:pt idx="162">
                  <c:v>43629</c:v>
                </c:pt>
                <c:pt idx="163">
                  <c:v>43630</c:v>
                </c:pt>
                <c:pt idx="164">
                  <c:v>43631</c:v>
                </c:pt>
                <c:pt idx="165">
                  <c:v>43632</c:v>
                </c:pt>
                <c:pt idx="166">
                  <c:v>43633</c:v>
                </c:pt>
                <c:pt idx="167">
                  <c:v>43634</c:v>
                </c:pt>
                <c:pt idx="168">
                  <c:v>43635</c:v>
                </c:pt>
                <c:pt idx="169">
                  <c:v>43636</c:v>
                </c:pt>
                <c:pt idx="170">
                  <c:v>43637</c:v>
                </c:pt>
                <c:pt idx="171">
                  <c:v>43638</c:v>
                </c:pt>
                <c:pt idx="172">
                  <c:v>43639</c:v>
                </c:pt>
                <c:pt idx="173">
                  <c:v>43640</c:v>
                </c:pt>
                <c:pt idx="174">
                  <c:v>43641</c:v>
                </c:pt>
                <c:pt idx="175">
                  <c:v>43642</c:v>
                </c:pt>
                <c:pt idx="176">
                  <c:v>43643</c:v>
                </c:pt>
                <c:pt idx="177">
                  <c:v>43644</c:v>
                </c:pt>
                <c:pt idx="178">
                  <c:v>43645</c:v>
                </c:pt>
                <c:pt idx="179">
                  <c:v>43646</c:v>
                </c:pt>
                <c:pt idx="180">
                  <c:v>43647</c:v>
                </c:pt>
                <c:pt idx="181">
                  <c:v>43648</c:v>
                </c:pt>
                <c:pt idx="182">
                  <c:v>43649</c:v>
                </c:pt>
                <c:pt idx="183">
                  <c:v>43650</c:v>
                </c:pt>
                <c:pt idx="184">
                  <c:v>43651</c:v>
                </c:pt>
                <c:pt idx="185">
                  <c:v>43652</c:v>
                </c:pt>
                <c:pt idx="186">
                  <c:v>43653</c:v>
                </c:pt>
                <c:pt idx="187">
                  <c:v>43654</c:v>
                </c:pt>
                <c:pt idx="188">
                  <c:v>43655</c:v>
                </c:pt>
                <c:pt idx="189">
                  <c:v>43656</c:v>
                </c:pt>
                <c:pt idx="190">
                  <c:v>43657</c:v>
                </c:pt>
                <c:pt idx="191">
                  <c:v>43658</c:v>
                </c:pt>
                <c:pt idx="192">
                  <c:v>43659</c:v>
                </c:pt>
                <c:pt idx="193">
                  <c:v>43660</c:v>
                </c:pt>
                <c:pt idx="194">
                  <c:v>43661</c:v>
                </c:pt>
                <c:pt idx="195">
                  <c:v>43662</c:v>
                </c:pt>
                <c:pt idx="196">
                  <c:v>43663</c:v>
                </c:pt>
                <c:pt idx="197">
                  <c:v>43664</c:v>
                </c:pt>
                <c:pt idx="198">
                  <c:v>43665</c:v>
                </c:pt>
                <c:pt idx="199">
                  <c:v>43666</c:v>
                </c:pt>
                <c:pt idx="200">
                  <c:v>43667</c:v>
                </c:pt>
                <c:pt idx="201">
                  <c:v>43668</c:v>
                </c:pt>
                <c:pt idx="202">
                  <c:v>43669</c:v>
                </c:pt>
                <c:pt idx="203">
                  <c:v>43670</c:v>
                </c:pt>
                <c:pt idx="204">
                  <c:v>43671</c:v>
                </c:pt>
                <c:pt idx="205">
                  <c:v>43672</c:v>
                </c:pt>
                <c:pt idx="206">
                  <c:v>43673</c:v>
                </c:pt>
                <c:pt idx="207">
                  <c:v>43674</c:v>
                </c:pt>
                <c:pt idx="208">
                  <c:v>43675</c:v>
                </c:pt>
                <c:pt idx="209">
                  <c:v>43676</c:v>
                </c:pt>
                <c:pt idx="210">
                  <c:v>43677</c:v>
                </c:pt>
                <c:pt idx="211">
                  <c:v>43678</c:v>
                </c:pt>
                <c:pt idx="212">
                  <c:v>43679</c:v>
                </c:pt>
                <c:pt idx="213">
                  <c:v>43680</c:v>
                </c:pt>
                <c:pt idx="214">
                  <c:v>43681</c:v>
                </c:pt>
                <c:pt idx="215">
                  <c:v>43682</c:v>
                </c:pt>
                <c:pt idx="216">
                  <c:v>43683</c:v>
                </c:pt>
                <c:pt idx="217">
                  <c:v>43684</c:v>
                </c:pt>
                <c:pt idx="218">
                  <c:v>43685</c:v>
                </c:pt>
                <c:pt idx="219">
                  <c:v>43686</c:v>
                </c:pt>
                <c:pt idx="220">
                  <c:v>43687</c:v>
                </c:pt>
                <c:pt idx="221">
                  <c:v>43688</c:v>
                </c:pt>
                <c:pt idx="222">
                  <c:v>43689</c:v>
                </c:pt>
                <c:pt idx="223">
                  <c:v>43690</c:v>
                </c:pt>
                <c:pt idx="224">
                  <c:v>43691</c:v>
                </c:pt>
                <c:pt idx="225">
                  <c:v>43692</c:v>
                </c:pt>
                <c:pt idx="226">
                  <c:v>43693</c:v>
                </c:pt>
                <c:pt idx="227">
                  <c:v>43694</c:v>
                </c:pt>
                <c:pt idx="228">
                  <c:v>43695</c:v>
                </c:pt>
                <c:pt idx="229">
                  <c:v>43696</c:v>
                </c:pt>
                <c:pt idx="230">
                  <c:v>43697</c:v>
                </c:pt>
                <c:pt idx="231">
                  <c:v>43698</c:v>
                </c:pt>
                <c:pt idx="232">
                  <c:v>43699</c:v>
                </c:pt>
                <c:pt idx="233">
                  <c:v>43700</c:v>
                </c:pt>
                <c:pt idx="234">
                  <c:v>43701</c:v>
                </c:pt>
                <c:pt idx="235">
                  <c:v>43702</c:v>
                </c:pt>
                <c:pt idx="236">
                  <c:v>43703</c:v>
                </c:pt>
                <c:pt idx="237">
                  <c:v>43704</c:v>
                </c:pt>
                <c:pt idx="238">
                  <c:v>43705</c:v>
                </c:pt>
                <c:pt idx="239">
                  <c:v>43706</c:v>
                </c:pt>
                <c:pt idx="240">
                  <c:v>43707</c:v>
                </c:pt>
                <c:pt idx="241">
                  <c:v>43708</c:v>
                </c:pt>
                <c:pt idx="242">
                  <c:v>43709</c:v>
                </c:pt>
                <c:pt idx="243">
                  <c:v>43710</c:v>
                </c:pt>
                <c:pt idx="244">
                  <c:v>43711</c:v>
                </c:pt>
                <c:pt idx="245">
                  <c:v>43712</c:v>
                </c:pt>
                <c:pt idx="246">
                  <c:v>43713</c:v>
                </c:pt>
                <c:pt idx="247">
                  <c:v>43714</c:v>
                </c:pt>
                <c:pt idx="248">
                  <c:v>43715</c:v>
                </c:pt>
                <c:pt idx="249">
                  <c:v>43716</c:v>
                </c:pt>
                <c:pt idx="250">
                  <c:v>43717</c:v>
                </c:pt>
                <c:pt idx="251">
                  <c:v>43718</c:v>
                </c:pt>
                <c:pt idx="252">
                  <c:v>43719</c:v>
                </c:pt>
                <c:pt idx="253">
                  <c:v>43720</c:v>
                </c:pt>
                <c:pt idx="254">
                  <c:v>43721</c:v>
                </c:pt>
                <c:pt idx="255">
                  <c:v>43722</c:v>
                </c:pt>
                <c:pt idx="256">
                  <c:v>43723</c:v>
                </c:pt>
                <c:pt idx="257">
                  <c:v>43724</c:v>
                </c:pt>
                <c:pt idx="258">
                  <c:v>43725</c:v>
                </c:pt>
                <c:pt idx="259">
                  <c:v>43726</c:v>
                </c:pt>
                <c:pt idx="260">
                  <c:v>43727</c:v>
                </c:pt>
                <c:pt idx="261">
                  <c:v>43728</c:v>
                </c:pt>
                <c:pt idx="262">
                  <c:v>43729</c:v>
                </c:pt>
                <c:pt idx="263">
                  <c:v>43730</c:v>
                </c:pt>
                <c:pt idx="264">
                  <c:v>43731</c:v>
                </c:pt>
                <c:pt idx="265">
                  <c:v>43732</c:v>
                </c:pt>
                <c:pt idx="266">
                  <c:v>43733</c:v>
                </c:pt>
                <c:pt idx="267">
                  <c:v>43734</c:v>
                </c:pt>
                <c:pt idx="268">
                  <c:v>43735</c:v>
                </c:pt>
                <c:pt idx="269">
                  <c:v>43736</c:v>
                </c:pt>
                <c:pt idx="270">
                  <c:v>43737</c:v>
                </c:pt>
                <c:pt idx="271">
                  <c:v>43738</c:v>
                </c:pt>
                <c:pt idx="272">
                  <c:v>43739</c:v>
                </c:pt>
                <c:pt idx="273">
                  <c:v>43740</c:v>
                </c:pt>
                <c:pt idx="274">
                  <c:v>43741</c:v>
                </c:pt>
                <c:pt idx="275">
                  <c:v>43742</c:v>
                </c:pt>
                <c:pt idx="276">
                  <c:v>43743</c:v>
                </c:pt>
                <c:pt idx="277">
                  <c:v>43744</c:v>
                </c:pt>
                <c:pt idx="278">
                  <c:v>43745</c:v>
                </c:pt>
                <c:pt idx="279">
                  <c:v>43746</c:v>
                </c:pt>
                <c:pt idx="280">
                  <c:v>43747</c:v>
                </c:pt>
                <c:pt idx="281">
                  <c:v>43748</c:v>
                </c:pt>
                <c:pt idx="282">
                  <c:v>43749</c:v>
                </c:pt>
                <c:pt idx="283">
                  <c:v>43750</c:v>
                </c:pt>
                <c:pt idx="284">
                  <c:v>43751</c:v>
                </c:pt>
                <c:pt idx="285">
                  <c:v>43752</c:v>
                </c:pt>
                <c:pt idx="286">
                  <c:v>43753</c:v>
                </c:pt>
                <c:pt idx="287">
                  <c:v>43754</c:v>
                </c:pt>
                <c:pt idx="288">
                  <c:v>43755</c:v>
                </c:pt>
                <c:pt idx="289">
                  <c:v>43756</c:v>
                </c:pt>
                <c:pt idx="290">
                  <c:v>43757</c:v>
                </c:pt>
                <c:pt idx="291">
                  <c:v>43758</c:v>
                </c:pt>
                <c:pt idx="292">
                  <c:v>43759</c:v>
                </c:pt>
                <c:pt idx="293">
                  <c:v>43760</c:v>
                </c:pt>
                <c:pt idx="294">
                  <c:v>43761</c:v>
                </c:pt>
                <c:pt idx="295">
                  <c:v>43762</c:v>
                </c:pt>
                <c:pt idx="296">
                  <c:v>43763</c:v>
                </c:pt>
                <c:pt idx="297">
                  <c:v>43764</c:v>
                </c:pt>
                <c:pt idx="298">
                  <c:v>43765</c:v>
                </c:pt>
                <c:pt idx="299">
                  <c:v>43766</c:v>
                </c:pt>
                <c:pt idx="300">
                  <c:v>43767</c:v>
                </c:pt>
                <c:pt idx="301">
                  <c:v>43768</c:v>
                </c:pt>
                <c:pt idx="302">
                  <c:v>43769</c:v>
                </c:pt>
                <c:pt idx="303">
                  <c:v>43770</c:v>
                </c:pt>
                <c:pt idx="304">
                  <c:v>43771</c:v>
                </c:pt>
                <c:pt idx="305">
                  <c:v>43772</c:v>
                </c:pt>
                <c:pt idx="306">
                  <c:v>43773</c:v>
                </c:pt>
                <c:pt idx="307">
                  <c:v>43774</c:v>
                </c:pt>
                <c:pt idx="308">
                  <c:v>43775</c:v>
                </c:pt>
                <c:pt idx="309">
                  <c:v>43776</c:v>
                </c:pt>
                <c:pt idx="310">
                  <c:v>43777</c:v>
                </c:pt>
                <c:pt idx="311">
                  <c:v>43778</c:v>
                </c:pt>
                <c:pt idx="312">
                  <c:v>43779</c:v>
                </c:pt>
                <c:pt idx="313">
                  <c:v>43780</c:v>
                </c:pt>
                <c:pt idx="314">
                  <c:v>43781</c:v>
                </c:pt>
                <c:pt idx="315">
                  <c:v>43782</c:v>
                </c:pt>
                <c:pt idx="316">
                  <c:v>43783</c:v>
                </c:pt>
                <c:pt idx="317">
                  <c:v>43784</c:v>
                </c:pt>
                <c:pt idx="318">
                  <c:v>43785</c:v>
                </c:pt>
                <c:pt idx="319">
                  <c:v>43786</c:v>
                </c:pt>
                <c:pt idx="320">
                  <c:v>43787</c:v>
                </c:pt>
                <c:pt idx="321">
                  <c:v>43788</c:v>
                </c:pt>
                <c:pt idx="322">
                  <c:v>43789</c:v>
                </c:pt>
                <c:pt idx="323">
                  <c:v>43790</c:v>
                </c:pt>
                <c:pt idx="324">
                  <c:v>43791</c:v>
                </c:pt>
                <c:pt idx="325">
                  <c:v>43792</c:v>
                </c:pt>
                <c:pt idx="326">
                  <c:v>43793</c:v>
                </c:pt>
                <c:pt idx="327">
                  <c:v>43794</c:v>
                </c:pt>
                <c:pt idx="328">
                  <c:v>43795</c:v>
                </c:pt>
                <c:pt idx="329">
                  <c:v>43796</c:v>
                </c:pt>
                <c:pt idx="330">
                  <c:v>43797</c:v>
                </c:pt>
                <c:pt idx="331">
                  <c:v>43798</c:v>
                </c:pt>
                <c:pt idx="332">
                  <c:v>43799</c:v>
                </c:pt>
                <c:pt idx="333">
                  <c:v>43800</c:v>
                </c:pt>
                <c:pt idx="334">
                  <c:v>43801</c:v>
                </c:pt>
                <c:pt idx="335">
                  <c:v>43802</c:v>
                </c:pt>
                <c:pt idx="336">
                  <c:v>43803</c:v>
                </c:pt>
                <c:pt idx="337">
                  <c:v>43804</c:v>
                </c:pt>
                <c:pt idx="338">
                  <c:v>43805</c:v>
                </c:pt>
                <c:pt idx="339">
                  <c:v>43806</c:v>
                </c:pt>
                <c:pt idx="340">
                  <c:v>43807</c:v>
                </c:pt>
                <c:pt idx="341">
                  <c:v>43808</c:v>
                </c:pt>
                <c:pt idx="342">
                  <c:v>43809</c:v>
                </c:pt>
                <c:pt idx="343">
                  <c:v>43810</c:v>
                </c:pt>
                <c:pt idx="344">
                  <c:v>43811</c:v>
                </c:pt>
                <c:pt idx="345">
                  <c:v>43812</c:v>
                </c:pt>
                <c:pt idx="346">
                  <c:v>43813</c:v>
                </c:pt>
                <c:pt idx="347">
                  <c:v>43814</c:v>
                </c:pt>
                <c:pt idx="348">
                  <c:v>43815</c:v>
                </c:pt>
                <c:pt idx="349">
                  <c:v>43816</c:v>
                </c:pt>
                <c:pt idx="350">
                  <c:v>43817</c:v>
                </c:pt>
                <c:pt idx="351">
                  <c:v>43818</c:v>
                </c:pt>
                <c:pt idx="352">
                  <c:v>43819</c:v>
                </c:pt>
                <c:pt idx="353">
                  <c:v>43820</c:v>
                </c:pt>
                <c:pt idx="354">
                  <c:v>43821</c:v>
                </c:pt>
                <c:pt idx="355">
                  <c:v>43822</c:v>
                </c:pt>
                <c:pt idx="356">
                  <c:v>43823</c:v>
                </c:pt>
                <c:pt idx="357">
                  <c:v>43824</c:v>
                </c:pt>
                <c:pt idx="358">
                  <c:v>43825</c:v>
                </c:pt>
                <c:pt idx="359">
                  <c:v>43826</c:v>
                </c:pt>
                <c:pt idx="360">
                  <c:v>43827</c:v>
                </c:pt>
                <c:pt idx="361">
                  <c:v>43828</c:v>
                </c:pt>
                <c:pt idx="362">
                  <c:v>43829</c:v>
                </c:pt>
                <c:pt idx="363">
                  <c:v>43830</c:v>
                </c:pt>
              </c:numCache>
            </c:numRef>
          </c:cat>
          <c:val>
            <c:numRef>
              <c:f>'Checking Status'!$C$47:$C$410</c:f>
              <c:numCache>
                <c:formatCode>"$"#,##0.00</c:formatCode>
                <c:ptCount val="364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1121</c:v>
                </c:pt>
                <c:pt idx="11">
                  <c:v>1121</c:v>
                </c:pt>
                <c:pt idx="12">
                  <c:v>1121</c:v>
                </c:pt>
                <c:pt idx="13">
                  <c:v>1121</c:v>
                </c:pt>
                <c:pt idx="14">
                  <c:v>1121</c:v>
                </c:pt>
                <c:pt idx="15">
                  <c:v>1121</c:v>
                </c:pt>
                <c:pt idx="16">
                  <c:v>1121</c:v>
                </c:pt>
                <c:pt idx="17">
                  <c:v>1121</c:v>
                </c:pt>
                <c:pt idx="18">
                  <c:v>1121</c:v>
                </c:pt>
                <c:pt idx="19">
                  <c:v>1121</c:v>
                </c:pt>
                <c:pt idx="20">
                  <c:v>1121</c:v>
                </c:pt>
                <c:pt idx="21">
                  <c:v>1121</c:v>
                </c:pt>
                <c:pt idx="22">
                  <c:v>1121</c:v>
                </c:pt>
                <c:pt idx="23">
                  <c:v>1121</c:v>
                </c:pt>
                <c:pt idx="24">
                  <c:v>1121</c:v>
                </c:pt>
                <c:pt idx="25">
                  <c:v>1121</c:v>
                </c:pt>
                <c:pt idx="26">
                  <c:v>1121</c:v>
                </c:pt>
                <c:pt idx="27">
                  <c:v>1121</c:v>
                </c:pt>
                <c:pt idx="28">
                  <c:v>1121</c:v>
                </c:pt>
                <c:pt idx="29">
                  <c:v>1121</c:v>
                </c:pt>
                <c:pt idx="30">
                  <c:v>1121</c:v>
                </c:pt>
                <c:pt idx="31">
                  <c:v>1121</c:v>
                </c:pt>
                <c:pt idx="32">
                  <c:v>1121</c:v>
                </c:pt>
                <c:pt idx="33">
                  <c:v>1121</c:v>
                </c:pt>
                <c:pt idx="34">
                  <c:v>1121</c:v>
                </c:pt>
                <c:pt idx="35">
                  <c:v>1121</c:v>
                </c:pt>
                <c:pt idx="36">
                  <c:v>1121</c:v>
                </c:pt>
                <c:pt idx="37">
                  <c:v>1121</c:v>
                </c:pt>
                <c:pt idx="38">
                  <c:v>1121</c:v>
                </c:pt>
                <c:pt idx="39">
                  <c:v>1121</c:v>
                </c:pt>
                <c:pt idx="40">
                  <c:v>1121</c:v>
                </c:pt>
                <c:pt idx="41">
                  <c:v>1121</c:v>
                </c:pt>
                <c:pt idx="42">
                  <c:v>1121</c:v>
                </c:pt>
                <c:pt idx="43">
                  <c:v>1121</c:v>
                </c:pt>
                <c:pt idx="44">
                  <c:v>1121</c:v>
                </c:pt>
                <c:pt idx="45">
                  <c:v>1121</c:v>
                </c:pt>
                <c:pt idx="46">
                  <c:v>1121</c:v>
                </c:pt>
                <c:pt idx="47">
                  <c:v>1121</c:v>
                </c:pt>
                <c:pt idx="48">
                  <c:v>1121</c:v>
                </c:pt>
                <c:pt idx="49">
                  <c:v>1121</c:v>
                </c:pt>
                <c:pt idx="50">
                  <c:v>1121</c:v>
                </c:pt>
                <c:pt idx="51">
                  <c:v>1121</c:v>
                </c:pt>
                <c:pt idx="52">
                  <c:v>1121</c:v>
                </c:pt>
                <c:pt idx="53">
                  <c:v>1121</c:v>
                </c:pt>
                <c:pt idx="54">
                  <c:v>1121</c:v>
                </c:pt>
                <c:pt idx="55">
                  <c:v>1121</c:v>
                </c:pt>
                <c:pt idx="56">
                  <c:v>1121</c:v>
                </c:pt>
                <c:pt idx="57">
                  <c:v>1121</c:v>
                </c:pt>
                <c:pt idx="58">
                  <c:v>1121</c:v>
                </c:pt>
                <c:pt idx="59">
                  <c:v>1121</c:v>
                </c:pt>
                <c:pt idx="60">
                  <c:v>1121</c:v>
                </c:pt>
                <c:pt idx="61">
                  <c:v>1121</c:v>
                </c:pt>
                <c:pt idx="62">
                  <c:v>1121</c:v>
                </c:pt>
                <c:pt idx="63">
                  <c:v>1121</c:v>
                </c:pt>
                <c:pt idx="64">
                  <c:v>1121</c:v>
                </c:pt>
                <c:pt idx="65">
                  <c:v>1121</c:v>
                </c:pt>
                <c:pt idx="66">
                  <c:v>1121</c:v>
                </c:pt>
                <c:pt idx="67">
                  <c:v>1121</c:v>
                </c:pt>
                <c:pt idx="68">
                  <c:v>1121</c:v>
                </c:pt>
                <c:pt idx="69">
                  <c:v>1121</c:v>
                </c:pt>
                <c:pt idx="70">
                  <c:v>1121</c:v>
                </c:pt>
                <c:pt idx="71">
                  <c:v>1121</c:v>
                </c:pt>
                <c:pt idx="72">
                  <c:v>1121</c:v>
                </c:pt>
                <c:pt idx="73">
                  <c:v>1121</c:v>
                </c:pt>
                <c:pt idx="74">
                  <c:v>1121</c:v>
                </c:pt>
                <c:pt idx="75">
                  <c:v>1121</c:v>
                </c:pt>
                <c:pt idx="76">
                  <c:v>1121</c:v>
                </c:pt>
                <c:pt idx="77">
                  <c:v>1121</c:v>
                </c:pt>
                <c:pt idx="78">
                  <c:v>1121</c:v>
                </c:pt>
                <c:pt idx="79">
                  <c:v>1121</c:v>
                </c:pt>
                <c:pt idx="80">
                  <c:v>1121</c:v>
                </c:pt>
                <c:pt idx="81">
                  <c:v>1121</c:v>
                </c:pt>
                <c:pt idx="82">
                  <c:v>1121</c:v>
                </c:pt>
                <c:pt idx="83">
                  <c:v>1121</c:v>
                </c:pt>
                <c:pt idx="84">
                  <c:v>1121</c:v>
                </c:pt>
                <c:pt idx="85">
                  <c:v>1121</c:v>
                </c:pt>
                <c:pt idx="86">
                  <c:v>1121</c:v>
                </c:pt>
                <c:pt idx="87">
                  <c:v>1121</c:v>
                </c:pt>
                <c:pt idx="88">
                  <c:v>1121</c:v>
                </c:pt>
                <c:pt idx="89">
                  <c:v>1121</c:v>
                </c:pt>
                <c:pt idx="90">
                  <c:v>1121</c:v>
                </c:pt>
                <c:pt idx="91">
                  <c:v>1121</c:v>
                </c:pt>
                <c:pt idx="92">
                  <c:v>1121</c:v>
                </c:pt>
                <c:pt idx="93">
                  <c:v>1121</c:v>
                </c:pt>
                <c:pt idx="94">
                  <c:v>1121</c:v>
                </c:pt>
                <c:pt idx="95">
                  <c:v>1121</c:v>
                </c:pt>
                <c:pt idx="96">
                  <c:v>1121</c:v>
                </c:pt>
                <c:pt idx="97">
                  <c:v>1121</c:v>
                </c:pt>
                <c:pt idx="98">
                  <c:v>1121</c:v>
                </c:pt>
                <c:pt idx="99">
                  <c:v>1121</c:v>
                </c:pt>
                <c:pt idx="100">
                  <c:v>1121</c:v>
                </c:pt>
                <c:pt idx="101">
                  <c:v>1121</c:v>
                </c:pt>
                <c:pt idx="102">
                  <c:v>1121</c:v>
                </c:pt>
                <c:pt idx="103">
                  <c:v>1121</c:v>
                </c:pt>
                <c:pt idx="104">
                  <c:v>1121</c:v>
                </c:pt>
                <c:pt idx="105">
                  <c:v>1121</c:v>
                </c:pt>
                <c:pt idx="106">
                  <c:v>1121</c:v>
                </c:pt>
                <c:pt idx="107">
                  <c:v>1121</c:v>
                </c:pt>
                <c:pt idx="108">
                  <c:v>1121</c:v>
                </c:pt>
                <c:pt idx="109">
                  <c:v>1121</c:v>
                </c:pt>
                <c:pt idx="110">
                  <c:v>1121</c:v>
                </c:pt>
                <c:pt idx="111">
                  <c:v>1121</c:v>
                </c:pt>
                <c:pt idx="112">
                  <c:v>1121</c:v>
                </c:pt>
                <c:pt idx="113">
                  <c:v>1121</c:v>
                </c:pt>
                <c:pt idx="114">
                  <c:v>1121</c:v>
                </c:pt>
                <c:pt idx="115">
                  <c:v>1121</c:v>
                </c:pt>
                <c:pt idx="116">
                  <c:v>1121</c:v>
                </c:pt>
                <c:pt idx="117">
                  <c:v>1121</c:v>
                </c:pt>
                <c:pt idx="118">
                  <c:v>1121</c:v>
                </c:pt>
                <c:pt idx="119">
                  <c:v>1121</c:v>
                </c:pt>
                <c:pt idx="120">
                  <c:v>1121</c:v>
                </c:pt>
                <c:pt idx="121">
                  <c:v>1121</c:v>
                </c:pt>
                <c:pt idx="122">
                  <c:v>1121</c:v>
                </c:pt>
                <c:pt idx="123">
                  <c:v>1121</c:v>
                </c:pt>
                <c:pt idx="124">
                  <c:v>1121</c:v>
                </c:pt>
                <c:pt idx="125">
                  <c:v>1121</c:v>
                </c:pt>
                <c:pt idx="126">
                  <c:v>1121</c:v>
                </c:pt>
                <c:pt idx="127">
                  <c:v>1121</c:v>
                </c:pt>
                <c:pt idx="128">
                  <c:v>1121</c:v>
                </c:pt>
                <c:pt idx="129">
                  <c:v>1121</c:v>
                </c:pt>
                <c:pt idx="130">
                  <c:v>1121</c:v>
                </c:pt>
                <c:pt idx="131">
                  <c:v>1121</c:v>
                </c:pt>
                <c:pt idx="132">
                  <c:v>1121</c:v>
                </c:pt>
                <c:pt idx="133">
                  <c:v>1121</c:v>
                </c:pt>
                <c:pt idx="134">
                  <c:v>1121</c:v>
                </c:pt>
                <c:pt idx="135">
                  <c:v>1121</c:v>
                </c:pt>
                <c:pt idx="136">
                  <c:v>1121</c:v>
                </c:pt>
                <c:pt idx="137">
                  <c:v>1121</c:v>
                </c:pt>
                <c:pt idx="138">
                  <c:v>1121</c:v>
                </c:pt>
                <c:pt idx="139">
                  <c:v>1121</c:v>
                </c:pt>
                <c:pt idx="140">
                  <c:v>1121</c:v>
                </c:pt>
                <c:pt idx="141">
                  <c:v>1121</c:v>
                </c:pt>
                <c:pt idx="142">
                  <c:v>1121</c:v>
                </c:pt>
                <c:pt idx="143">
                  <c:v>1121</c:v>
                </c:pt>
                <c:pt idx="144">
                  <c:v>1121</c:v>
                </c:pt>
                <c:pt idx="145">
                  <c:v>1121</c:v>
                </c:pt>
                <c:pt idx="146">
                  <c:v>1121</c:v>
                </c:pt>
                <c:pt idx="147">
                  <c:v>1121</c:v>
                </c:pt>
                <c:pt idx="148">
                  <c:v>1121</c:v>
                </c:pt>
                <c:pt idx="149">
                  <c:v>1121</c:v>
                </c:pt>
                <c:pt idx="150">
                  <c:v>1121</c:v>
                </c:pt>
                <c:pt idx="151">
                  <c:v>1121</c:v>
                </c:pt>
                <c:pt idx="152">
                  <c:v>1121</c:v>
                </c:pt>
                <c:pt idx="153">
                  <c:v>1121</c:v>
                </c:pt>
                <c:pt idx="154">
                  <c:v>1121</c:v>
                </c:pt>
                <c:pt idx="155">
                  <c:v>1121</c:v>
                </c:pt>
                <c:pt idx="156">
                  <c:v>1121</c:v>
                </c:pt>
                <c:pt idx="157">
                  <c:v>1121</c:v>
                </c:pt>
                <c:pt idx="158">
                  <c:v>1121</c:v>
                </c:pt>
                <c:pt idx="159">
                  <c:v>1121</c:v>
                </c:pt>
                <c:pt idx="160">
                  <c:v>1121</c:v>
                </c:pt>
                <c:pt idx="161">
                  <c:v>1121</c:v>
                </c:pt>
                <c:pt idx="162">
                  <c:v>1121</c:v>
                </c:pt>
                <c:pt idx="163">
                  <c:v>1121</c:v>
                </c:pt>
                <c:pt idx="164">
                  <c:v>1121</c:v>
                </c:pt>
                <c:pt idx="165">
                  <c:v>1121</c:v>
                </c:pt>
                <c:pt idx="166">
                  <c:v>1121</c:v>
                </c:pt>
                <c:pt idx="167">
                  <c:v>1121</c:v>
                </c:pt>
                <c:pt idx="168">
                  <c:v>1121</c:v>
                </c:pt>
                <c:pt idx="169">
                  <c:v>1121</c:v>
                </c:pt>
                <c:pt idx="170">
                  <c:v>1121</c:v>
                </c:pt>
                <c:pt idx="171">
                  <c:v>1121</c:v>
                </c:pt>
                <c:pt idx="172">
                  <c:v>1121</c:v>
                </c:pt>
                <c:pt idx="173">
                  <c:v>1121</c:v>
                </c:pt>
                <c:pt idx="174">
                  <c:v>1121</c:v>
                </c:pt>
                <c:pt idx="175">
                  <c:v>1121</c:v>
                </c:pt>
                <c:pt idx="176">
                  <c:v>1121</c:v>
                </c:pt>
                <c:pt idx="177">
                  <c:v>1121</c:v>
                </c:pt>
                <c:pt idx="178">
                  <c:v>1121</c:v>
                </c:pt>
                <c:pt idx="179">
                  <c:v>1121</c:v>
                </c:pt>
                <c:pt idx="180">
                  <c:v>1121</c:v>
                </c:pt>
                <c:pt idx="181">
                  <c:v>1121</c:v>
                </c:pt>
                <c:pt idx="182">
                  <c:v>1121</c:v>
                </c:pt>
                <c:pt idx="183">
                  <c:v>1121</c:v>
                </c:pt>
                <c:pt idx="184">
                  <c:v>1121</c:v>
                </c:pt>
                <c:pt idx="185">
                  <c:v>1121</c:v>
                </c:pt>
                <c:pt idx="186">
                  <c:v>1121</c:v>
                </c:pt>
                <c:pt idx="187">
                  <c:v>1121</c:v>
                </c:pt>
                <c:pt idx="188">
                  <c:v>1121</c:v>
                </c:pt>
                <c:pt idx="189">
                  <c:v>1121</c:v>
                </c:pt>
                <c:pt idx="190">
                  <c:v>1121</c:v>
                </c:pt>
                <c:pt idx="191">
                  <c:v>1121</c:v>
                </c:pt>
                <c:pt idx="192">
                  <c:v>1121</c:v>
                </c:pt>
                <c:pt idx="193">
                  <c:v>1121</c:v>
                </c:pt>
                <c:pt idx="194">
                  <c:v>1121</c:v>
                </c:pt>
                <c:pt idx="195">
                  <c:v>1121</c:v>
                </c:pt>
                <c:pt idx="196">
                  <c:v>1121</c:v>
                </c:pt>
                <c:pt idx="197">
                  <c:v>1121</c:v>
                </c:pt>
                <c:pt idx="198">
                  <c:v>1121</c:v>
                </c:pt>
                <c:pt idx="199">
                  <c:v>1121</c:v>
                </c:pt>
                <c:pt idx="200">
                  <c:v>1121</c:v>
                </c:pt>
                <c:pt idx="201">
                  <c:v>1121</c:v>
                </c:pt>
                <c:pt idx="202">
                  <c:v>1121</c:v>
                </c:pt>
                <c:pt idx="203">
                  <c:v>1121</c:v>
                </c:pt>
                <c:pt idx="204">
                  <c:v>1121</c:v>
                </c:pt>
                <c:pt idx="205">
                  <c:v>1121</c:v>
                </c:pt>
                <c:pt idx="206">
                  <c:v>1121</c:v>
                </c:pt>
                <c:pt idx="207">
                  <c:v>1121</c:v>
                </c:pt>
                <c:pt idx="208">
                  <c:v>1121</c:v>
                </c:pt>
                <c:pt idx="209">
                  <c:v>1121</c:v>
                </c:pt>
                <c:pt idx="210">
                  <c:v>1121</c:v>
                </c:pt>
                <c:pt idx="211">
                  <c:v>1121</c:v>
                </c:pt>
                <c:pt idx="212">
                  <c:v>1121</c:v>
                </c:pt>
                <c:pt idx="213">
                  <c:v>1121</c:v>
                </c:pt>
                <c:pt idx="214">
                  <c:v>1121</c:v>
                </c:pt>
                <c:pt idx="215">
                  <c:v>1121</c:v>
                </c:pt>
                <c:pt idx="216">
                  <c:v>1121</c:v>
                </c:pt>
                <c:pt idx="217">
                  <c:v>1121</c:v>
                </c:pt>
                <c:pt idx="218">
                  <c:v>1121</c:v>
                </c:pt>
                <c:pt idx="219">
                  <c:v>1121</c:v>
                </c:pt>
                <c:pt idx="220">
                  <c:v>1121</c:v>
                </c:pt>
                <c:pt idx="221">
                  <c:v>1121</c:v>
                </c:pt>
                <c:pt idx="222">
                  <c:v>1121</c:v>
                </c:pt>
                <c:pt idx="223">
                  <c:v>1121</c:v>
                </c:pt>
                <c:pt idx="224">
                  <c:v>1121</c:v>
                </c:pt>
                <c:pt idx="225">
                  <c:v>1121</c:v>
                </c:pt>
                <c:pt idx="226">
                  <c:v>1121</c:v>
                </c:pt>
                <c:pt idx="227">
                  <c:v>1121</c:v>
                </c:pt>
                <c:pt idx="228">
                  <c:v>1121</c:v>
                </c:pt>
                <c:pt idx="229">
                  <c:v>1121</c:v>
                </c:pt>
                <c:pt idx="230">
                  <c:v>1121</c:v>
                </c:pt>
                <c:pt idx="231">
                  <c:v>1121</c:v>
                </c:pt>
                <c:pt idx="232">
                  <c:v>1121</c:v>
                </c:pt>
                <c:pt idx="233">
                  <c:v>1121</c:v>
                </c:pt>
                <c:pt idx="234">
                  <c:v>1121</c:v>
                </c:pt>
                <c:pt idx="235">
                  <c:v>1121</c:v>
                </c:pt>
                <c:pt idx="236">
                  <c:v>1121</c:v>
                </c:pt>
                <c:pt idx="237">
                  <c:v>1121</c:v>
                </c:pt>
                <c:pt idx="238">
                  <c:v>1121</c:v>
                </c:pt>
                <c:pt idx="239">
                  <c:v>1121</c:v>
                </c:pt>
                <c:pt idx="240">
                  <c:v>1121</c:v>
                </c:pt>
                <c:pt idx="241">
                  <c:v>1121</c:v>
                </c:pt>
                <c:pt idx="242">
                  <c:v>1121</c:v>
                </c:pt>
                <c:pt idx="243">
                  <c:v>1121</c:v>
                </c:pt>
                <c:pt idx="244">
                  <c:v>1121</c:v>
                </c:pt>
                <c:pt idx="245">
                  <c:v>1121</c:v>
                </c:pt>
                <c:pt idx="246">
                  <c:v>1121</c:v>
                </c:pt>
                <c:pt idx="247">
                  <c:v>1121</c:v>
                </c:pt>
                <c:pt idx="248">
                  <c:v>1121</c:v>
                </c:pt>
                <c:pt idx="249">
                  <c:v>1121</c:v>
                </c:pt>
                <c:pt idx="250">
                  <c:v>1121</c:v>
                </c:pt>
                <c:pt idx="251">
                  <c:v>1121</c:v>
                </c:pt>
                <c:pt idx="252">
                  <c:v>1121</c:v>
                </c:pt>
                <c:pt idx="253">
                  <c:v>1121</c:v>
                </c:pt>
                <c:pt idx="254">
                  <c:v>1121</c:v>
                </c:pt>
                <c:pt idx="255">
                  <c:v>1121</c:v>
                </c:pt>
                <c:pt idx="256">
                  <c:v>1121</c:v>
                </c:pt>
                <c:pt idx="257">
                  <c:v>1121</c:v>
                </c:pt>
                <c:pt idx="258">
                  <c:v>1121</c:v>
                </c:pt>
                <c:pt idx="259">
                  <c:v>1121</c:v>
                </c:pt>
                <c:pt idx="260">
                  <c:v>1121</c:v>
                </c:pt>
                <c:pt idx="261">
                  <c:v>1121</c:v>
                </c:pt>
                <c:pt idx="262">
                  <c:v>1121</c:v>
                </c:pt>
                <c:pt idx="263">
                  <c:v>1121</c:v>
                </c:pt>
                <c:pt idx="264">
                  <c:v>1121</c:v>
                </c:pt>
                <c:pt idx="265">
                  <c:v>1121</c:v>
                </c:pt>
                <c:pt idx="266">
                  <c:v>1121</c:v>
                </c:pt>
                <c:pt idx="267">
                  <c:v>1121</c:v>
                </c:pt>
                <c:pt idx="268">
                  <c:v>1121</c:v>
                </c:pt>
                <c:pt idx="269">
                  <c:v>1121</c:v>
                </c:pt>
                <c:pt idx="270">
                  <c:v>1121</c:v>
                </c:pt>
                <c:pt idx="271">
                  <c:v>1121</c:v>
                </c:pt>
                <c:pt idx="272">
                  <c:v>1121</c:v>
                </c:pt>
                <c:pt idx="273">
                  <c:v>1121</c:v>
                </c:pt>
                <c:pt idx="274">
                  <c:v>1121</c:v>
                </c:pt>
                <c:pt idx="275">
                  <c:v>1121</c:v>
                </c:pt>
                <c:pt idx="276">
                  <c:v>1121</c:v>
                </c:pt>
                <c:pt idx="277">
                  <c:v>1121</c:v>
                </c:pt>
                <c:pt idx="278">
                  <c:v>1121</c:v>
                </c:pt>
                <c:pt idx="279">
                  <c:v>1121</c:v>
                </c:pt>
                <c:pt idx="280">
                  <c:v>1121</c:v>
                </c:pt>
                <c:pt idx="281">
                  <c:v>1121</c:v>
                </c:pt>
                <c:pt idx="282">
                  <c:v>1121</c:v>
                </c:pt>
                <c:pt idx="283">
                  <c:v>1121</c:v>
                </c:pt>
                <c:pt idx="284">
                  <c:v>1121</c:v>
                </c:pt>
                <c:pt idx="285">
                  <c:v>1121</c:v>
                </c:pt>
                <c:pt idx="286">
                  <c:v>1121</c:v>
                </c:pt>
                <c:pt idx="287">
                  <c:v>1121</c:v>
                </c:pt>
                <c:pt idx="288">
                  <c:v>1121</c:v>
                </c:pt>
                <c:pt idx="289">
                  <c:v>1121</c:v>
                </c:pt>
                <c:pt idx="290">
                  <c:v>1121</c:v>
                </c:pt>
                <c:pt idx="291">
                  <c:v>1121</c:v>
                </c:pt>
                <c:pt idx="292">
                  <c:v>1121</c:v>
                </c:pt>
                <c:pt idx="293">
                  <c:v>1121</c:v>
                </c:pt>
                <c:pt idx="294">
                  <c:v>1121</c:v>
                </c:pt>
                <c:pt idx="295">
                  <c:v>1121</c:v>
                </c:pt>
                <c:pt idx="296">
                  <c:v>1121</c:v>
                </c:pt>
                <c:pt idx="297">
                  <c:v>1121</c:v>
                </c:pt>
                <c:pt idx="298">
                  <c:v>1121</c:v>
                </c:pt>
                <c:pt idx="299">
                  <c:v>1121</c:v>
                </c:pt>
                <c:pt idx="300">
                  <c:v>1121</c:v>
                </c:pt>
                <c:pt idx="301">
                  <c:v>1121</c:v>
                </c:pt>
                <c:pt idx="302">
                  <c:v>1121</c:v>
                </c:pt>
                <c:pt idx="303">
                  <c:v>1121</c:v>
                </c:pt>
                <c:pt idx="304">
                  <c:v>1121</c:v>
                </c:pt>
                <c:pt idx="305">
                  <c:v>1121</c:v>
                </c:pt>
                <c:pt idx="306">
                  <c:v>1121</c:v>
                </c:pt>
                <c:pt idx="307">
                  <c:v>1121</c:v>
                </c:pt>
                <c:pt idx="308">
                  <c:v>1121</c:v>
                </c:pt>
                <c:pt idx="309">
                  <c:v>1121</c:v>
                </c:pt>
                <c:pt idx="310">
                  <c:v>1121</c:v>
                </c:pt>
                <c:pt idx="311">
                  <c:v>1121</c:v>
                </c:pt>
                <c:pt idx="312">
                  <c:v>1121</c:v>
                </c:pt>
                <c:pt idx="313">
                  <c:v>1121</c:v>
                </c:pt>
                <c:pt idx="314">
                  <c:v>1121</c:v>
                </c:pt>
                <c:pt idx="315">
                  <c:v>1121</c:v>
                </c:pt>
                <c:pt idx="316">
                  <c:v>1121</c:v>
                </c:pt>
                <c:pt idx="317">
                  <c:v>1121</c:v>
                </c:pt>
                <c:pt idx="318">
                  <c:v>1121</c:v>
                </c:pt>
                <c:pt idx="319">
                  <c:v>1121</c:v>
                </c:pt>
                <c:pt idx="320">
                  <c:v>1121</c:v>
                </c:pt>
                <c:pt idx="321">
                  <c:v>1121</c:v>
                </c:pt>
                <c:pt idx="322">
                  <c:v>1121</c:v>
                </c:pt>
                <c:pt idx="323">
                  <c:v>1121</c:v>
                </c:pt>
                <c:pt idx="324">
                  <c:v>1121</c:v>
                </c:pt>
                <c:pt idx="325">
                  <c:v>1121</c:v>
                </c:pt>
                <c:pt idx="326">
                  <c:v>1121</c:v>
                </c:pt>
                <c:pt idx="327">
                  <c:v>1121</c:v>
                </c:pt>
                <c:pt idx="328">
                  <c:v>1121</c:v>
                </c:pt>
                <c:pt idx="329">
                  <c:v>1121</c:v>
                </c:pt>
                <c:pt idx="330">
                  <c:v>1121</c:v>
                </c:pt>
                <c:pt idx="331">
                  <c:v>1121</c:v>
                </c:pt>
                <c:pt idx="332">
                  <c:v>1121</c:v>
                </c:pt>
                <c:pt idx="333">
                  <c:v>1121</c:v>
                </c:pt>
                <c:pt idx="334">
                  <c:v>1121</c:v>
                </c:pt>
                <c:pt idx="335">
                  <c:v>1121</c:v>
                </c:pt>
                <c:pt idx="336">
                  <c:v>1121</c:v>
                </c:pt>
                <c:pt idx="337">
                  <c:v>1121</c:v>
                </c:pt>
                <c:pt idx="338">
                  <c:v>1121</c:v>
                </c:pt>
                <c:pt idx="339">
                  <c:v>1121</c:v>
                </c:pt>
                <c:pt idx="340">
                  <c:v>1121</c:v>
                </c:pt>
                <c:pt idx="341">
                  <c:v>1121</c:v>
                </c:pt>
                <c:pt idx="342">
                  <c:v>1121</c:v>
                </c:pt>
                <c:pt idx="343">
                  <c:v>1121</c:v>
                </c:pt>
                <c:pt idx="344">
                  <c:v>1121</c:v>
                </c:pt>
                <c:pt idx="345">
                  <c:v>1121</c:v>
                </c:pt>
                <c:pt idx="346">
                  <c:v>1121</c:v>
                </c:pt>
                <c:pt idx="347">
                  <c:v>1121</c:v>
                </c:pt>
                <c:pt idx="348">
                  <c:v>1121</c:v>
                </c:pt>
                <c:pt idx="349">
                  <c:v>1121</c:v>
                </c:pt>
                <c:pt idx="350">
                  <c:v>1121</c:v>
                </c:pt>
                <c:pt idx="351">
                  <c:v>1121</c:v>
                </c:pt>
                <c:pt idx="352">
                  <c:v>1121</c:v>
                </c:pt>
                <c:pt idx="353">
                  <c:v>1121</c:v>
                </c:pt>
                <c:pt idx="354">
                  <c:v>1121</c:v>
                </c:pt>
                <c:pt idx="355">
                  <c:v>1121</c:v>
                </c:pt>
                <c:pt idx="356">
                  <c:v>1121</c:v>
                </c:pt>
                <c:pt idx="357">
                  <c:v>1121</c:v>
                </c:pt>
                <c:pt idx="358">
                  <c:v>1121</c:v>
                </c:pt>
                <c:pt idx="359">
                  <c:v>1121</c:v>
                </c:pt>
                <c:pt idx="360">
                  <c:v>1121</c:v>
                </c:pt>
                <c:pt idx="361">
                  <c:v>1121</c:v>
                </c:pt>
                <c:pt idx="362">
                  <c:v>1121</c:v>
                </c:pt>
                <c:pt idx="363">
                  <c:v>1121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10-4F01-B789-7D4533FA3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776928"/>
        <c:axId val="424779224"/>
      </c:lineChart>
      <c:dateAx>
        <c:axId val="424776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79224"/>
        <c:crosses val="autoZero"/>
        <c:auto val="1"/>
        <c:lblOffset val="100"/>
        <c:baseTimeUnit val="days"/>
      </c:dateAx>
      <c:valAx>
        <c:axId val="42477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7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11204</xdr:rowOff>
    </xdr:from>
    <xdr:to>
      <xdr:col>30</xdr:col>
      <xdr:colOff>1</xdr:colOff>
      <xdr:row>34</xdr:row>
      <xdr:rowOff>194235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2649A7C-231B-46A8-B3FE-76BD98EACB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ED22FE-17D2-48EB-8486-29620D54EBE0}" name="January" displayName="January" ref="E6:H38" totalsRowCount="1">
  <autoFilter ref="E6:H37" xr:uid="{11E373E9-9504-4F5A-8109-7A2AFA5D48A7}"/>
  <sortState ref="E7:H37">
    <sortCondition ref="E6:E37"/>
  </sortState>
  <tableColumns count="4">
    <tableColumn id="1" xr3:uid="{6CA9E378-D049-4039-B14A-C08847D72D38}" name="Date" totalsRowFunction="custom" dataDxfId="108" totalsRowDxfId="107">
      <totalsRowFormula>January[[#Totals],[Income]]-January[[#Totals],[Expenses]]</totalsRowFormula>
    </tableColumn>
    <tableColumn id="2" xr3:uid="{1C81004E-285C-4B29-8765-B07DECF9012B}" name="Income" totalsRowFunction="custom" dataDxfId="106" totalsRowDxfId="105" dataCellStyle="Currency">
      <calculatedColumnFormula>Financing!E2</calculatedColumnFormula>
      <totalsRowFormula>SUM(January[Income])</totalsRowFormula>
    </tableColumn>
    <tableColumn id="3" xr3:uid="{5B4EF445-46EA-4FD3-8B40-B3DF31FEFFF1}" name="Expenses" totalsRowFunction="custom" dataDxfId="104" totalsRowDxfId="103">
      <calculatedColumnFormula>SUM(#REF!)</calculatedColumnFormula>
      <totalsRowFormula>SUM(January[Expenses])</totalsRowFormula>
    </tableColumn>
    <tableColumn id="4" xr3:uid="{7C559954-BDFF-41E7-AA9F-2F14B4FCBA57}" name="Jan" totalsRowFunction="custom" dataDxfId="102" totalsRowDxfId="101">
      <calculatedColumnFormula>H6+January[[#This Row],[Income]]-January[[#This Row],[Expenses]]</calculatedColumnFormula>
      <totalsRowFormula>H37</totalsRow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24308C-2BA8-48BB-8925-F1B20322C2CB}" name="February" displayName="February" ref="L6:O38" totalsRowCount="1" tableBorderDxfId="100">
  <autoFilter ref="L6:O37" xr:uid="{C764D189-693C-4D14-9107-78DE899E1D88}"/>
  <sortState ref="L7:O37">
    <sortCondition ref="L6:L37"/>
  </sortState>
  <tableColumns count="4">
    <tableColumn id="1" xr3:uid="{B2431CEA-5662-4C28-BC0B-5EF0ABCF721A}" name="Date" totalsRowFunction="custom" dataDxfId="99" totalsRowDxfId="98">
      <totalsRowFormula>M38-N38</totalsRowFormula>
    </tableColumn>
    <tableColumn id="2" xr3:uid="{38CD0F6C-9E6E-4DED-B2FF-9268F52E41F4}" name="Income" totalsRowFunction="custom" dataDxfId="97" totalsRowDxfId="96" dataCellStyle="Currency">
      <totalsRowFormula>SUM(February[Income])</totalsRowFormula>
    </tableColumn>
    <tableColumn id="3" xr3:uid="{8D449394-BAB2-4BD5-B2D1-E7D7D131F142}" name="Expenses" totalsRowFunction="custom" dataDxfId="95" totalsRowDxfId="94">
      <totalsRowFormula>SUM(February[Expenses])</totalsRowFormula>
    </tableColumn>
    <tableColumn id="4" xr3:uid="{3F463A9F-A4AF-42E7-A1BA-2B546AFDBF84}" name="Feb" totalsRowFunction="custom" dataDxfId="93" totalsRowDxfId="92">
      <calculatedColumnFormula>O6+February[[#This Row],[Income]]-February[[#This Row],[Expenses]]</calculatedColumnFormula>
      <totalsRowFormula>O37</totalsRow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968B89-1FAB-46B4-A79F-4F6091318369}" name="March" displayName="March" ref="S6:V38" totalsRowCount="1" tableBorderDxfId="91">
  <autoFilter ref="S6:V37" xr:uid="{FBCF99C8-90EC-400E-9187-4E15A5B1680F}"/>
  <sortState ref="S7:V37">
    <sortCondition ref="S6:S37"/>
  </sortState>
  <tableColumns count="4">
    <tableColumn id="1" xr3:uid="{662FB699-D270-43B0-8B25-CB4CDBDD1EB4}" name="Date" totalsRowFunction="custom" dataDxfId="90" totalsRowDxfId="89">
      <totalsRowFormula>T38-U38</totalsRowFormula>
    </tableColumn>
    <tableColumn id="2" xr3:uid="{16CEE6D9-D608-4A69-A300-D17435B6F195}" name="Income" totalsRowFunction="custom" dataDxfId="88" totalsRowDxfId="87" dataCellStyle="Currency">
      <totalsRowFormula>SUM(March[Income])</totalsRowFormula>
    </tableColumn>
    <tableColumn id="3" xr3:uid="{0EB58ED2-4E16-4BDD-BEF1-EAD9E445E655}" name="Expenses" totalsRowFunction="custom" dataDxfId="86" totalsRowDxfId="85">
      <totalsRowFormula>SUM(March[Expenses])</totalsRowFormula>
    </tableColumn>
    <tableColumn id="4" xr3:uid="{31FFDDBC-68D6-4241-B1C8-6E5806F0A085}" name="Mar" totalsRowFunction="custom" dataDxfId="84" totalsRowDxfId="83">
      <calculatedColumnFormula>V6+March[[#This Row],[Income]]-March[[#This Row],[Expenses]]</calculatedColumnFormula>
      <totalsRowFormula>V37</totalsRow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AFC027C-1053-4281-8AC2-2A1CEDCABA5B}" name="Table5" displayName="Table5" ref="B46:C410" totalsRowShown="0" tableBorderDxfId="82">
  <autoFilter ref="B46:C410" xr:uid="{9F24A3D5-5F93-4AA4-A892-3AA0BCECB6DC}"/>
  <tableColumns count="2">
    <tableColumn id="1" xr3:uid="{C46C16A2-F992-41D2-9D11-FAD4BB4C8ACC}" name="Date">
      <calculatedColumnFormula>E7</calculatedColumnFormula>
    </tableColumn>
    <tableColumn id="2" xr3:uid="{E31D9DE4-39C4-4E22-B5A0-70738DCEEAB8}" name="Daily Amount" dataDxfId="81">
      <calculatedColumnFormula>H7</calculatedColumnFormula>
    </tableColumn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14FAA6-5404-43E6-8B9A-B5582E21184E}" name="April" displayName="April" ref="Z6:AC38" totalsRowCount="1" tableBorderDxfId="80">
  <autoFilter ref="Z6:AC37" xr:uid="{FE4D3A6B-B310-4BF0-8875-EF063B996314}"/>
  <sortState ref="Z7:AC37">
    <sortCondition ref="Z6:Z37"/>
  </sortState>
  <tableColumns count="4">
    <tableColumn id="1" xr3:uid="{2D489126-8DB2-45D9-AFF3-83F1479237AB}" name="Date" totalsRowFunction="custom" dataDxfId="79" totalsRowDxfId="78">
      <totalsRowFormula>AA38-AB38</totalsRowFormula>
    </tableColumn>
    <tableColumn id="2" xr3:uid="{5EB648C9-309A-4BBF-B3E1-1797547D03F8}" name="Income" totalsRowFunction="custom" dataDxfId="77" totalsRowDxfId="76" dataCellStyle="Currency">
      <totalsRowFormula>SUM(April[Income])</totalsRowFormula>
    </tableColumn>
    <tableColumn id="3" xr3:uid="{942AA7A3-19F5-4260-9991-C000130D1E8D}" name="Expenses" totalsRowFunction="custom" dataDxfId="75" totalsRowDxfId="74">
      <totalsRowFormula>SUM(April[Expenses])</totalsRowFormula>
    </tableColumn>
    <tableColumn id="4" xr3:uid="{7828651B-8355-481D-BCB9-9E9D8230DA3D}" name="Apr" totalsRowFunction="custom" dataDxfId="73" totalsRowDxfId="72">
      <calculatedColumnFormula>AC6+April[[#This Row],[Income]]-April[[#This Row],[Expenses]]</calculatedColumnFormula>
      <totalsRowFormula>AC37</totalsRow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5E0E36-6D3F-490F-B1BD-E003B6823BB9}" name="May" displayName="May" ref="AG6:AJ38" totalsRowCount="1" tableBorderDxfId="71">
  <autoFilter ref="AG6:AJ37" xr:uid="{D3130AC3-A6A0-4094-B986-9E00E7DCCBEA}"/>
  <sortState ref="AG7:AJ37">
    <sortCondition ref="AG6:AG37"/>
  </sortState>
  <tableColumns count="4">
    <tableColumn id="1" xr3:uid="{C52C3449-4D4D-450B-892E-C557D17FA454}" name="Date" totalsRowFunction="custom" dataDxfId="70" totalsRowDxfId="69">
      <totalsRowFormula>AH38-AI38</totalsRowFormula>
    </tableColumn>
    <tableColumn id="2" xr3:uid="{F576623F-D69E-4BCB-A0D0-61E7DBBB3982}" name="Income" totalsRowFunction="custom" dataDxfId="68" totalsRowDxfId="67" dataCellStyle="Currency">
      <calculatedColumnFormula>SUM(Financing!#REF!,Financing!#REF!)</calculatedColumnFormula>
      <totalsRowFormula>SUM(May[Income])</totalsRowFormula>
    </tableColumn>
    <tableColumn id="3" xr3:uid="{027B2C01-B22D-443D-8C8B-B23F908E134D}" name="Expenses" totalsRowFunction="custom" dataDxfId="66" totalsRowDxfId="65">
      <calculatedColumnFormula>SUM(#REF!)</calculatedColumnFormula>
      <totalsRowFormula>SUM(May[Expenses])</totalsRowFormula>
    </tableColumn>
    <tableColumn id="4" xr3:uid="{42C6CB21-88D7-4AE4-BCDB-A3BB3BE42D8F}" name="May" totalsRowFunction="custom" dataDxfId="64" totalsRowDxfId="63">
      <calculatedColumnFormula>AJ6+May[[#This Row],[Income]]-May[[#This Row],[Expenses]]</calculatedColumnFormula>
      <totalsRowFormula>AJ37</totalsRow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1E6788-BFBA-4471-8EF4-D659C77F54AA}" name="June" displayName="June" ref="AN6:AQ38" totalsRowCount="1" tableBorderDxfId="62">
  <autoFilter ref="AN6:AQ37" xr:uid="{4141F867-C9FB-4110-B674-6F159C5CA3B8}"/>
  <sortState ref="AN7:AQ37">
    <sortCondition ref="AN6:AN37"/>
  </sortState>
  <tableColumns count="4">
    <tableColumn id="1" xr3:uid="{723FC353-33E8-4944-8FA4-261D6A0B38D9}" name="Date" totalsRowFunction="custom" dataDxfId="61" totalsRowDxfId="60">
      <totalsRowFormula>AO38-AP38</totalsRowFormula>
    </tableColumn>
    <tableColumn id="2" xr3:uid="{6E27D52A-8037-4D68-984B-0131C2637311}" name="Income" totalsRowFunction="custom" dataDxfId="59" totalsRowDxfId="58" dataCellStyle="Currency">
      <totalsRowFormula>SUM(June[Income])</totalsRowFormula>
    </tableColumn>
    <tableColumn id="3" xr3:uid="{32E43D56-735C-4663-9AC7-AEBF8273C590}" name="Expenses" totalsRowFunction="custom" dataDxfId="57" totalsRowDxfId="56">
      <totalsRowFormula>SUM(June[Expenses])</totalsRowFormula>
    </tableColumn>
    <tableColumn id="4" xr3:uid="{DCA3F0AB-A63A-4FD3-91C9-34B1601F369E}" name="Jun" totalsRowFunction="custom" dataDxfId="55" totalsRowDxfId="54">
      <calculatedColumnFormula>AQ6+June[[#This Row],[Income]]-June[[#This Row],[Expenses]]</calculatedColumnFormula>
      <totalsRowFormula>AQ37</totalsRow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ACF9B7-4631-4634-AF39-568B54B67871}" name="July" displayName="July" ref="AU6:AX38" totalsRowCount="1" tableBorderDxfId="53">
  <autoFilter ref="AU6:AX37" xr:uid="{7442E541-920E-4D22-AC82-771A266B11AC}"/>
  <sortState ref="AU7:AX37">
    <sortCondition ref="AU6:AU37"/>
  </sortState>
  <tableColumns count="4">
    <tableColumn id="1" xr3:uid="{33DED2D7-8D59-4D2D-971D-BCA4AD9F3309}" name="Date" totalsRowFunction="custom" dataDxfId="52" totalsRowDxfId="51">
      <totalsRowFormula>AV38-AW38</totalsRowFormula>
    </tableColumn>
    <tableColumn id="2" xr3:uid="{13209AC5-1C12-469E-800A-6259AEF53EEB}" name="Income" totalsRowFunction="custom" dataDxfId="50" totalsRowDxfId="49" dataCellStyle="Currency">
      <totalsRowFormula>SUM(July[Income])</totalsRowFormula>
    </tableColumn>
    <tableColumn id="3" xr3:uid="{2DBCC68D-F066-43CF-AD5E-0386FFA92446}" name="Expenses" totalsRowFunction="custom" dataDxfId="48" totalsRowDxfId="47">
      <totalsRowFormula>SUM(July[Expenses])</totalsRowFormula>
    </tableColumn>
    <tableColumn id="4" xr3:uid="{28777736-95B8-40BE-8FAD-C7BC9CB1C705}" name="Jul" totalsRowFunction="custom" dataDxfId="46" totalsRowDxfId="45">
      <calculatedColumnFormula>AX6+July[[#This Row],[Income]]-July[[#This Row],[Expenses]]</calculatedColumnFormula>
      <totalsRowFormula>AX37</totalsRow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FDC3B6-04EA-4724-AD3B-F20900E9FD3F}" name="Aug" displayName="Aug" ref="BB6:BE38" totalsRowCount="1" tableBorderDxfId="44">
  <autoFilter ref="BB6:BE37" xr:uid="{3F8EE6BA-49D2-40FB-B7D9-3CAEA0A815BD}"/>
  <sortState ref="BB7:BE37">
    <sortCondition ref="BB6:BB37"/>
  </sortState>
  <tableColumns count="4">
    <tableColumn id="1" xr3:uid="{E6196150-D01B-4DD1-BE5F-8F4016ECCC09}" name="Date" totalsRowFunction="custom" dataDxfId="43" totalsRowDxfId="42">
      <totalsRowFormula>BC38-BD38</totalsRowFormula>
    </tableColumn>
    <tableColumn id="2" xr3:uid="{3E8A17FF-CB25-43E7-B012-B32FE0998B6F}" name="Income" totalsRowFunction="custom" dataDxfId="41" totalsRowDxfId="40" dataCellStyle="Currency">
      <totalsRowFormula>SUM(Aug[Income])</totalsRowFormula>
    </tableColumn>
    <tableColumn id="3" xr3:uid="{65F7254F-9EB5-4A20-B550-B0E6350F0DBC}" name="Expenses" totalsRowFunction="custom" dataDxfId="39" totalsRowDxfId="38">
      <totalsRowFormula>SUM(Aug[Expenses])</totalsRowFormula>
    </tableColumn>
    <tableColumn id="4" xr3:uid="{B06FA535-A357-490E-912D-46614EFB51C4}" name="Aug" totalsRowFunction="custom" dataDxfId="37" totalsRowDxfId="36">
      <calculatedColumnFormula>BE6+Aug[[#This Row],[Income]]-Aug[[#This Row],[Expenses]]</calculatedColumnFormula>
      <totalsRowFormula>BE37</totalsRow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220C1BA-E03C-420A-BDD0-FFC1970BE6FA}" name="September" displayName="September" ref="BI6:BL38" totalsRowCount="1" tableBorderDxfId="35">
  <autoFilter ref="BI6:BL37" xr:uid="{CB253BD2-2E33-457D-A45D-B5A530A4B5B3}"/>
  <sortState ref="BI7:BL37">
    <sortCondition ref="BI6:BI37"/>
  </sortState>
  <tableColumns count="4">
    <tableColumn id="1" xr3:uid="{1DCD7F16-CD77-4049-9444-D87878E067C2}" name="Date" totalsRowFunction="custom" dataDxfId="34" totalsRowDxfId="33">
      <totalsRowFormula>BJ38-BK38</totalsRowFormula>
    </tableColumn>
    <tableColumn id="2" xr3:uid="{90FD889A-EDC1-49C8-BFE9-040F81928F12}" name="Income" totalsRowFunction="custom" dataDxfId="32" totalsRowDxfId="31" dataCellStyle="Currency">
      <calculatedColumnFormula>SUM(Financing!#REF!,Financing!#REF!)</calculatedColumnFormula>
      <totalsRowFormula>SUM(September[Income])</totalsRowFormula>
    </tableColumn>
    <tableColumn id="3" xr3:uid="{C989F3E4-BB90-4F9D-A328-C7E7EEF03A83}" name="Expenses" totalsRowFunction="custom" dataDxfId="30" totalsRowDxfId="29">
      <calculatedColumnFormula>SUM(#REF!)</calculatedColumnFormula>
      <totalsRowFormula>SUM(September[Expenses])</totalsRowFormula>
    </tableColumn>
    <tableColumn id="4" xr3:uid="{A7E1FA5C-DD1A-46BF-879C-ADDC011A8BBE}" name="Sept" totalsRowFunction="custom" dataDxfId="28" totalsRowDxfId="27">
      <calculatedColumnFormula>BL6+September[[#This Row],[Income]]-September[[#This Row],[Expenses]]</calculatedColumnFormula>
      <totalsRowFormula>BL37</totalsRowFormula>
    </tableColumn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90EB6D9-60D2-4F00-8116-BEC7AA6C100B}" name="October" displayName="October" ref="BP6:BS38" totalsRowCount="1" tableBorderDxfId="26">
  <autoFilter ref="BP6:BS37" xr:uid="{6FEA1DAB-667E-43A7-BB17-5183A236D36E}"/>
  <sortState ref="BP7:BS37">
    <sortCondition ref="BP6:BP37"/>
  </sortState>
  <tableColumns count="4">
    <tableColumn id="1" xr3:uid="{7A9BAB68-1F99-469F-8332-11F17679032D}" name="Date" totalsRowFunction="custom" dataDxfId="25" totalsRowDxfId="24">
      <totalsRowFormula>BQ38-BR38</totalsRowFormula>
    </tableColumn>
    <tableColumn id="2" xr3:uid="{DD573293-A74B-4531-8EAD-A7515074C337}" name="Income" totalsRowFunction="custom" dataDxfId="23" totalsRowDxfId="22" dataCellStyle="Currency">
      <totalsRowFormula>SUM(October[Income])</totalsRowFormula>
    </tableColumn>
    <tableColumn id="3" xr3:uid="{14ACB06D-C60F-4CB9-BF93-60CC26C65FD7}" name="Expenses" totalsRowFunction="custom" dataDxfId="21" totalsRowDxfId="20">
      <totalsRowFormula>SUM(October[Expenses])</totalsRowFormula>
    </tableColumn>
    <tableColumn id="4" xr3:uid="{B4A73E9D-FBB9-482D-A996-7216E7BA55DF}" name="Oct" totalsRowFunction="custom" dataDxfId="19" totalsRowDxfId="18">
      <calculatedColumnFormula>BS6+October[[#This Row],[Income]]-October[[#This Row],[Expenses]]</calculatedColumnFormula>
      <totalsRowFormula>BS37</totalsRowFormula>
    </tableColumn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C2A18AA-CC28-4E29-80FF-03585C538A6B}" name="November" displayName="November" ref="BW6:BZ38" totalsRowCount="1" tableBorderDxfId="17">
  <autoFilter ref="BW6:BZ37" xr:uid="{8E897A2A-7A9F-40A1-BA77-65CEAA379AB7}"/>
  <sortState ref="BW7:BZ37">
    <sortCondition ref="BW6:BW37"/>
  </sortState>
  <tableColumns count="4">
    <tableColumn id="1" xr3:uid="{6F00B524-1339-42A5-8F70-2A8A2D58D9DF}" name="Date" totalsRowFunction="custom" dataDxfId="16" totalsRowDxfId="15">
      <totalsRowFormula>BX38-BY38</totalsRowFormula>
    </tableColumn>
    <tableColumn id="2" xr3:uid="{3F4FCCC9-7EC6-486D-8809-E8ECFF1CF19D}" name="Income" totalsRowFunction="custom" dataDxfId="14" totalsRowDxfId="13" dataCellStyle="Currency">
      <totalsRowFormula>SUM(November[Income])</totalsRowFormula>
    </tableColumn>
    <tableColumn id="3" xr3:uid="{A14C0A54-EB39-4FB6-8D1F-C14E63F65E02}" name="Expenses" totalsRowFunction="custom" dataDxfId="12" totalsRowDxfId="11">
      <totalsRowFormula>SUM(November[Expenses])</totalsRowFormula>
    </tableColumn>
    <tableColumn id="4" xr3:uid="{B5A5AE0C-1892-4447-8C81-9B1488ED6095}" name="Nov" totalsRowFunction="custom" dataDxfId="10" totalsRowDxfId="9">
      <calculatedColumnFormula>BZ6+November[[#This Row],[Income]]-November[[#This Row],[Expenses]]</calculatedColumnFormula>
      <totalsRowFormula>BZ37</totalsRowFormula>
    </tableColumn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20253C0-6E6D-4660-9E5F-44A7E5B76BFF}" name="December" displayName="December" ref="CD6:CG38" totalsRowCount="1" tableBorderDxfId="8">
  <autoFilter ref="CD6:CG37" xr:uid="{E1F7C803-4AD3-44C1-B065-90857C3E4B56}"/>
  <sortState ref="CD7:CG37">
    <sortCondition ref="CD6:CD37"/>
  </sortState>
  <tableColumns count="4">
    <tableColumn id="1" xr3:uid="{08B0EDE9-ABA6-45BA-BCA5-70092E33194E}" name="Date" totalsRowFunction="custom" dataDxfId="7" totalsRowDxfId="6">
      <totalsRowFormula>CE38-CF38</totalsRowFormula>
    </tableColumn>
    <tableColumn id="2" xr3:uid="{E49860FD-B312-46F0-9874-DD563585997F}" name="Income" totalsRowFunction="custom" dataDxfId="5" totalsRowDxfId="4" dataCellStyle="Currency">
      <totalsRowFormula>SUM(December[Income])</totalsRowFormula>
    </tableColumn>
    <tableColumn id="3" xr3:uid="{43C37904-F314-4221-B8D0-68A08FFC53E6}" name="Expenses" totalsRowFunction="custom" dataDxfId="3" totalsRowDxfId="2">
      <totalsRowFormula>SUM(December[Expenses])</totalsRowFormula>
    </tableColumn>
    <tableColumn id="4" xr3:uid="{68A2A5D8-4DB5-40E6-A76C-38C9498EF2A3}" name="Nov" totalsRowFunction="custom" dataDxfId="1" totalsRowDxfId="0">
      <calculatedColumnFormula>CG6+December[[#This Row],[Income]]-December[[#This Row],[Expenses]]</calculatedColumnFormula>
      <totalsRowFormula>CG37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vmlDrawing" Target="../drawings/vmlDrawing1.v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autoPageBreaks="0"/>
  </sheetPr>
  <dimension ref="A1:CJ410"/>
  <sheetViews>
    <sheetView tabSelected="1" zoomScaleNormal="100" workbookViewId="0">
      <selection activeCell="F7" sqref="F7"/>
    </sheetView>
  </sheetViews>
  <sheetFormatPr defaultColWidth="8.85546875" defaultRowHeight="15" x14ac:dyDescent="0.25"/>
  <cols>
    <col min="1" max="1" width="9.140625" style="22"/>
    <col min="2" max="2" width="19.42578125" style="22" bestFit="1" customWidth="1"/>
    <col min="3" max="3" width="16.28515625" style="22" bestFit="1" customWidth="1"/>
    <col min="4" max="4" width="9.7109375" style="22" customWidth="1"/>
    <col min="5" max="6" width="11.85546875" style="22" customWidth="1"/>
    <col min="7" max="7" width="11.42578125" style="22" bestFit="1" customWidth="1"/>
    <col min="8" max="8" width="17.7109375" style="22" customWidth="1"/>
    <col min="9" max="9" width="10.42578125" style="22" bestFit="1" customWidth="1"/>
    <col min="10" max="10" width="9.7109375" style="22" bestFit="1" customWidth="1"/>
    <col min="11" max="11" width="9.7109375" style="22" customWidth="1"/>
    <col min="12" max="14" width="11.42578125" style="22" bestFit="1" customWidth="1"/>
    <col min="15" max="15" width="17.7109375" style="22" customWidth="1"/>
    <col min="16" max="16" width="10.42578125" style="22" bestFit="1" customWidth="1"/>
    <col min="17" max="18" width="8.85546875" style="22"/>
    <col min="19" max="19" width="11.42578125" style="22" bestFit="1" customWidth="1"/>
    <col min="20" max="20" width="10.42578125" style="22" bestFit="1" customWidth="1"/>
    <col min="21" max="21" width="12.28515625" style="22" bestFit="1" customWidth="1"/>
    <col min="22" max="22" width="17.7109375" style="22" customWidth="1"/>
    <col min="23" max="25" width="8.85546875" style="22"/>
    <col min="26" max="26" width="11.42578125" style="22" bestFit="1" customWidth="1"/>
    <col min="27" max="27" width="10.42578125" style="22" bestFit="1" customWidth="1"/>
    <col min="28" max="28" width="8.85546875" style="22"/>
    <col min="29" max="29" width="17.7109375" style="22" customWidth="1"/>
    <col min="30" max="32" width="8.85546875" style="22"/>
    <col min="33" max="34" width="10.42578125" style="22" bestFit="1" customWidth="1"/>
    <col min="35" max="35" width="12.28515625" style="22" bestFit="1" customWidth="1"/>
    <col min="36" max="36" width="17.7109375" style="22" customWidth="1"/>
    <col min="37" max="39" width="8.85546875" style="22"/>
    <col min="40" max="41" width="10.42578125" style="22" bestFit="1" customWidth="1"/>
    <col min="42" max="42" width="12.28515625" style="22" bestFit="1" customWidth="1"/>
    <col min="43" max="43" width="17.7109375" style="22" customWidth="1"/>
    <col min="44" max="46" width="8.85546875" style="22"/>
    <col min="47" max="48" width="10.42578125" style="22" bestFit="1" customWidth="1"/>
    <col min="49" max="49" width="12.28515625" style="22" bestFit="1" customWidth="1"/>
    <col min="50" max="50" width="17.7109375" style="22" customWidth="1"/>
    <col min="51" max="53" width="8.85546875" style="22"/>
    <col min="54" max="54" width="10.42578125" style="22" bestFit="1" customWidth="1"/>
    <col min="55" max="55" width="8.85546875" style="22"/>
    <col min="56" max="56" width="12.28515625" style="22" bestFit="1" customWidth="1"/>
    <col min="57" max="57" width="17.7109375" style="22" customWidth="1"/>
    <col min="58" max="60" width="8.85546875" style="22"/>
    <col min="61" max="61" width="10.7109375" style="22" bestFit="1" customWidth="1"/>
    <col min="62" max="63" width="8.85546875" style="22"/>
    <col min="64" max="64" width="17.7109375" style="22" customWidth="1"/>
    <col min="65" max="67" width="8.85546875" style="22"/>
    <col min="68" max="68" width="11.42578125" style="22" bestFit="1" customWidth="1"/>
    <col min="69" max="70" width="8.85546875" style="22"/>
    <col min="71" max="71" width="17.7109375" style="22" customWidth="1"/>
    <col min="72" max="74" width="8.85546875" style="22"/>
    <col min="75" max="75" width="11.42578125" style="22" bestFit="1" customWidth="1"/>
    <col min="76" max="77" width="8.85546875" style="22"/>
    <col min="78" max="78" width="17.7109375" style="22" customWidth="1"/>
    <col min="79" max="81" width="8.85546875" style="22"/>
    <col min="82" max="82" width="11.42578125" style="22" bestFit="1" customWidth="1"/>
    <col min="83" max="84" width="8.85546875" style="22"/>
    <col min="85" max="85" width="17.7109375" style="22" customWidth="1"/>
    <col min="86" max="16384" width="8.85546875" style="22"/>
  </cols>
  <sheetData>
    <row r="1" spans="1:88" ht="15.75" thickBot="1" x14ac:dyDescent="0.3">
      <c r="B1" s="34"/>
      <c r="E1" s="35"/>
      <c r="F1" s="35"/>
      <c r="G1" s="35"/>
      <c r="H1" s="35"/>
      <c r="I1" s="35"/>
      <c r="J1" s="35"/>
      <c r="K1" s="35"/>
    </row>
    <row r="2" spans="1:88" s="28" customFormat="1" ht="24" thickBot="1" x14ac:dyDescent="0.4">
      <c r="B2" s="166" t="s">
        <v>20</v>
      </c>
      <c r="C2" s="167"/>
      <c r="D2" s="76"/>
      <c r="E2" s="160" t="s">
        <v>95</v>
      </c>
      <c r="F2" s="161"/>
      <c r="G2" s="161"/>
      <c r="H2" s="161"/>
      <c r="I2" s="162"/>
      <c r="J2" s="75"/>
      <c r="K2" s="75"/>
      <c r="L2" s="160" t="s">
        <v>96</v>
      </c>
      <c r="M2" s="161"/>
      <c r="N2" s="161"/>
      <c r="O2" s="161"/>
      <c r="P2" s="162"/>
      <c r="Q2" s="75"/>
      <c r="R2" s="75"/>
      <c r="S2" s="160" t="s">
        <v>97</v>
      </c>
      <c r="T2" s="161"/>
      <c r="U2" s="161"/>
      <c r="V2" s="161"/>
      <c r="W2" s="162"/>
      <c r="X2" s="75"/>
      <c r="Y2" s="75"/>
      <c r="Z2" s="160" t="s">
        <v>98</v>
      </c>
      <c r="AA2" s="161"/>
      <c r="AB2" s="161"/>
      <c r="AC2" s="161"/>
      <c r="AD2" s="162"/>
      <c r="AE2" s="75"/>
      <c r="AF2" s="75"/>
      <c r="AG2" s="160" t="s">
        <v>99</v>
      </c>
      <c r="AH2" s="161"/>
      <c r="AI2" s="161"/>
      <c r="AJ2" s="161"/>
      <c r="AK2" s="162"/>
      <c r="AL2" s="75"/>
      <c r="AM2" s="75"/>
      <c r="AN2" s="160" t="s">
        <v>100</v>
      </c>
      <c r="AO2" s="161"/>
      <c r="AP2" s="161"/>
      <c r="AQ2" s="161"/>
      <c r="AR2" s="162"/>
      <c r="AS2" s="75"/>
      <c r="AT2" s="75"/>
      <c r="AU2" s="160" t="s">
        <v>101</v>
      </c>
      <c r="AV2" s="161"/>
      <c r="AW2" s="161"/>
      <c r="AX2" s="161"/>
      <c r="AY2" s="162"/>
      <c r="AZ2" s="75"/>
      <c r="BA2" s="75"/>
      <c r="BB2" s="160" t="s">
        <v>102</v>
      </c>
      <c r="BC2" s="161"/>
      <c r="BD2" s="161"/>
      <c r="BE2" s="161"/>
      <c r="BF2" s="162"/>
      <c r="BG2" s="75"/>
      <c r="BH2" s="75"/>
      <c r="BI2" s="160" t="s">
        <v>22</v>
      </c>
      <c r="BJ2" s="161"/>
      <c r="BK2" s="161"/>
      <c r="BL2" s="161"/>
      <c r="BM2" s="162"/>
      <c r="BN2" s="75"/>
      <c r="BO2" s="75"/>
      <c r="BP2" s="160" t="s">
        <v>0</v>
      </c>
      <c r="BQ2" s="161"/>
      <c r="BR2" s="161"/>
      <c r="BS2" s="161"/>
      <c r="BT2" s="162"/>
      <c r="BU2" s="75"/>
      <c r="BV2" s="75"/>
      <c r="BW2" s="160" t="s">
        <v>2</v>
      </c>
      <c r="BX2" s="161"/>
      <c r="BY2" s="161"/>
      <c r="BZ2" s="161"/>
      <c r="CA2" s="162"/>
      <c r="CB2" s="75"/>
      <c r="CC2" s="75"/>
      <c r="CD2" s="160" t="s">
        <v>34</v>
      </c>
      <c r="CE2" s="161"/>
      <c r="CF2" s="161"/>
      <c r="CG2" s="161"/>
      <c r="CH2" s="162"/>
      <c r="CI2" s="75"/>
      <c r="CJ2" s="77"/>
    </row>
    <row r="3" spans="1:88" x14ac:dyDescent="0.25">
      <c r="B3" s="71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78"/>
    </row>
    <row r="4" spans="1:88" ht="21.75" thickBot="1" x14ac:dyDescent="0.4">
      <c r="A4"/>
      <c r="B4" s="168" t="s">
        <v>19</v>
      </c>
      <c r="C4" s="169"/>
      <c r="D4" s="15"/>
      <c r="E4" s="15"/>
      <c r="F4" s="15"/>
      <c r="G4" s="15"/>
      <c r="H4" s="15"/>
      <c r="I4" s="11"/>
      <c r="J4" s="11"/>
      <c r="K4" s="11"/>
      <c r="L4" s="15"/>
      <c r="M4" s="15"/>
      <c r="N4" s="15"/>
      <c r="O4" s="15"/>
      <c r="P4" s="11"/>
      <c r="Q4" s="11"/>
      <c r="R4" s="11"/>
      <c r="S4" s="15"/>
      <c r="T4" s="15"/>
      <c r="U4" s="15"/>
      <c r="V4" s="15"/>
      <c r="W4" s="11"/>
      <c r="X4" s="11"/>
      <c r="Y4" s="11"/>
      <c r="Z4" s="15"/>
      <c r="AA4" s="15"/>
      <c r="AB4" s="15"/>
      <c r="AC4" s="15"/>
      <c r="AD4" s="11"/>
      <c r="AE4" s="11"/>
      <c r="AF4" s="11"/>
      <c r="AG4" s="15"/>
      <c r="AH4" s="15"/>
      <c r="AI4" s="15"/>
      <c r="AJ4" s="15"/>
      <c r="AK4" s="11"/>
      <c r="AL4" s="11"/>
      <c r="AM4" s="11"/>
      <c r="AN4" s="15"/>
      <c r="AO4" s="15"/>
      <c r="AP4" s="15"/>
      <c r="AQ4" s="15"/>
      <c r="AR4" s="11"/>
      <c r="AS4" s="11"/>
      <c r="AT4" s="11"/>
      <c r="AU4" s="15"/>
      <c r="AV4" s="15"/>
      <c r="AW4" s="15"/>
      <c r="AX4" s="15"/>
      <c r="AY4" s="11"/>
      <c r="AZ4" s="11"/>
      <c r="BA4" s="11"/>
      <c r="BB4" s="15"/>
      <c r="BC4" s="15"/>
      <c r="BD4" s="15"/>
      <c r="BE4" s="15"/>
      <c r="BF4" s="11"/>
      <c r="BG4" s="11"/>
      <c r="BH4" s="11"/>
      <c r="BI4" s="15"/>
      <c r="BJ4" s="15"/>
      <c r="BK4" s="15"/>
      <c r="BL4" s="15"/>
      <c r="BM4" s="11"/>
      <c r="BN4" s="11"/>
      <c r="BO4" s="11"/>
      <c r="BP4" s="15"/>
      <c r="BQ4" s="15"/>
      <c r="BR4" s="15"/>
      <c r="BS4" s="15"/>
      <c r="BT4" s="11"/>
      <c r="BU4" s="11"/>
      <c r="BV4" s="11"/>
      <c r="BW4" s="15"/>
      <c r="BX4" s="15"/>
      <c r="BY4" s="15"/>
      <c r="BZ4" s="15"/>
      <c r="CA4" s="11"/>
      <c r="CB4" s="11"/>
      <c r="CC4" s="11"/>
      <c r="CD4" s="15"/>
      <c r="CE4" s="15"/>
      <c r="CF4" s="15"/>
      <c r="CG4" s="15"/>
      <c r="CH4" s="11"/>
      <c r="CI4" s="11"/>
      <c r="CJ4" s="40"/>
    </row>
    <row r="5" spans="1:88" ht="22.5" thickTop="1" thickBot="1" x14ac:dyDescent="0.4">
      <c r="B5" s="179" t="s">
        <v>94</v>
      </c>
      <c r="C5" s="180"/>
      <c r="D5" s="180"/>
      <c r="E5" s="176">
        <v>1000</v>
      </c>
      <c r="F5" s="177"/>
      <c r="G5" s="177"/>
      <c r="H5" s="178"/>
      <c r="I5" s="69"/>
      <c r="J5" s="69"/>
      <c r="K5" s="69"/>
      <c r="L5" s="163">
        <f>H38</f>
        <v>1121</v>
      </c>
      <c r="M5" s="164"/>
      <c r="N5" s="164"/>
      <c r="O5" s="165"/>
      <c r="P5" s="69"/>
      <c r="Q5" s="69"/>
      <c r="R5" s="69"/>
      <c r="S5" s="163">
        <f>O38</f>
        <v>1121</v>
      </c>
      <c r="T5" s="164"/>
      <c r="U5" s="164"/>
      <c r="V5" s="165"/>
      <c r="W5" s="69"/>
      <c r="X5" s="69"/>
      <c r="Y5" s="69"/>
      <c r="Z5" s="163">
        <f>V38</f>
        <v>1121</v>
      </c>
      <c r="AA5" s="164"/>
      <c r="AB5" s="164"/>
      <c r="AC5" s="165"/>
      <c r="AD5" s="69"/>
      <c r="AE5" s="69"/>
      <c r="AF5" s="69"/>
      <c r="AG5" s="163">
        <f>AC38</f>
        <v>1121</v>
      </c>
      <c r="AH5" s="164"/>
      <c r="AI5" s="164"/>
      <c r="AJ5" s="165"/>
      <c r="AK5" s="69"/>
      <c r="AL5" s="69"/>
      <c r="AM5" s="69"/>
      <c r="AN5" s="163">
        <f>AJ38</f>
        <v>1121</v>
      </c>
      <c r="AO5" s="164"/>
      <c r="AP5" s="164"/>
      <c r="AQ5" s="165"/>
      <c r="AR5" s="69"/>
      <c r="AS5" s="69"/>
      <c r="AT5" s="69"/>
      <c r="AU5" s="163">
        <f>AQ38</f>
        <v>1121</v>
      </c>
      <c r="AV5" s="164"/>
      <c r="AW5" s="164"/>
      <c r="AX5" s="165"/>
      <c r="AY5" s="69"/>
      <c r="AZ5" s="69"/>
      <c r="BA5" s="69"/>
      <c r="BB5" s="163">
        <f>AX38</f>
        <v>1121</v>
      </c>
      <c r="BC5" s="164"/>
      <c r="BD5" s="164"/>
      <c r="BE5" s="165"/>
      <c r="BF5" s="69"/>
      <c r="BG5" s="69"/>
      <c r="BH5" s="69"/>
      <c r="BI5" s="163">
        <f>BE38</f>
        <v>1121</v>
      </c>
      <c r="BJ5" s="164"/>
      <c r="BK5" s="164"/>
      <c r="BL5" s="165"/>
      <c r="BM5" s="69"/>
      <c r="BN5" s="69"/>
      <c r="BO5" s="69"/>
      <c r="BP5" s="163">
        <f>BL38</f>
        <v>1121</v>
      </c>
      <c r="BQ5" s="164"/>
      <c r="BR5" s="164"/>
      <c r="BS5" s="165"/>
      <c r="BT5" s="69"/>
      <c r="BU5" s="69"/>
      <c r="BV5" s="69"/>
      <c r="BW5" s="163">
        <f>BS38</f>
        <v>1121</v>
      </c>
      <c r="BX5" s="164"/>
      <c r="BY5" s="164"/>
      <c r="BZ5" s="165"/>
      <c r="CA5" s="69"/>
      <c r="CB5" s="69"/>
      <c r="CC5" s="69"/>
      <c r="CD5" s="163">
        <f>BZ38</f>
        <v>1121</v>
      </c>
      <c r="CE5" s="164"/>
      <c r="CF5" s="164"/>
      <c r="CG5" s="165"/>
      <c r="CH5" s="69"/>
      <c r="CI5" s="69"/>
      <c r="CJ5" s="78"/>
    </row>
    <row r="6" spans="1:88" ht="15.75" customHeight="1" thickTop="1" thickBot="1" x14ac:dyDescent="0.3">
      <c r="B6" s="134" t="s">
        <v>33</v>
      </c>
      <c r="C6" s="135">
        <f ca="1">TODAY()</f>
        <v>43466</v>
      </c>
      <c r="D6" s="69"/>
      <c r="E6" s="3" t="s">
        <v>9</v>
      </c>
      <c r="F6" s="4" t="s">
        <v>1</v>
      </c>
      <c r="G6" s="5" t="s">
        <v>21</v>
      </c>
      <c r="H6" s="16" t="s">
        <v>108</v>
      </c>
      <c r="I6" s="69"/>
      <c r="J6" s="69"/>
      <c r="K6" s="69"/>
      <c r="L6" s="36" t="s">
        <v>9</v>
      </c>
      <c r="M6" s="4" t="s">
        <v>1</v>
      </c>
      <c r="N6" s="5" t="s">
        <v>21</v>
      </c>
      <c r="O6" s="38" t="s">
        <v>109</v>
      </c>
      <c r="P6" s="69"/>
      <c r="Q6" s="69"/>
      <c r="R6" s="69"/>
      <c r="S6" s="36" t="s">
        <v>9</v>
      </c>
      <c r="T6" s="4" t="s">
        <v>1</v>
      </c>
      <c r="U6" s="5" t="s">
        <v>21</v>
      </c>
      <c r="V6" s="38" t="s">
        <v>110</v>
      </c>
      <c r="W6" s="69"/>
      <c r="X6" s="69"/>
      <c r="Y6" s="69"/>
      <c r="Z6" s="36" t="s">
        <v>9</v>
      </c>
      <c r="AA6" s="4" t="s">
        <v>1</v>
      </c>
      <c r="AB6" s="5" t="s">
        <v>21</v>
      </c>
      <c r="AC6" s="38" t="s">
        <v>111</v>
      </c>
      <c r="AD6" s="69"/>
      <c r="AE6" s="69"/>
      <c r="AF6" s="69"/>
      <c r="AG6" s="36" t="s">
        <v>9</v>
      </c>
      <c r="AH6" s="4" t="s">
        <v>1</v>
      </c>
      <c r="AI6" s="5" t="s">
        <v>21</v>
      </c>
      <c r="AJ6" s="38" t="s">
        <v>99</v>
      </c>
      <c r="AK6" s="69"/>
      <c r="AL6" s="69"/>
      <c r="AM6" s="69"/>
      <c r="AN6" s="36" t="s">
        <v>9</v>
      </c>
      <c r="AO6" s="4" t="s">
        <v>1</v>
      </c>
      <c r="AP6" s="5" t="s">
        <v>21</v>
      </c>
      <c r="AQ6" s="38" t="s">
        <v>114</v>
      </c>
      <c r="AR6" s="69"/>
      <c r="AS6" s="69"/>
      <c r="AT6" s="69"/>
      <c r="AU6" s="36" t="s">
        <v>9</v>
      </c>
      <c r="AV6" s="4" t="s">
        <v>1</v>
      </c>
      <c r="AW6" s="5" t="s">
        <v>21</v>
      </c>
      <c r="AX6" s="38" t="s">
        <v>113</v>
      </c>
      <c r="AY6" s="69"/>
      <c r="AZ6" s="69"/>
      <c r="BA6" s="69"/>
      <c r="BB6" s="36" t="s">
        <v>9</v>
      </c>
      <c r="BC6" s="4" t="s">
        <v>1</v>
      </c>
      <c r="BD6" s="5" t="s">
        <v>21</v>
      </c>
      <c r="BE6" s="38" t="s">
        <v>112</v>
      </c>
      <c r="BF6" s="69"/>
      <c r="BG6" s="69"/>
      <c r="BH6" s="69"/>
      <c r="BI6" s="36" t="s">
        <v>9</v>
      </c>
      <c r="BJ6" s="4" t="s">
        <v>1</v>
      </c>
      <c r="BK6" s="5" t="s">
        <v>21</v>
      </c>
      <c r="BL6" s="38" t="s">
        <v>29</v>
      </c>
      <c r="BM6" s="69"/>
      <c r="BN6" s="69"/>
      <c r="BO6" s="69"/>
      <c r="BP6" s="36" t="s">
        <v>9</v>
      </c>
      <c r="BQ6" s="4" t="s">
        <v>1</v>
      </c>
      <c r="BR6" s="5" t="s">
        <v>21</v>
      </c>
      <c r="BS6" s="38" t="s">
        <v>30</v>
      </c>
      <c r="BT6" s="69"/>
      <c r="BU6" s="69"/>
      <c r="BV6" s="69"/>
      <c r="BW6" s="36" t="s">
        <v>9</v>
      </c>
      <c r="BX6" s="4" t="s">
        <v>1</v>
      </c>
      <c r="BY6" s="5" t="s">
        <v>21</v>
      </c>
      <c r="BZ6" s="38" t="s">
        <v>31</v>
      </c>
      <c r="CA6" s="69"/>
      <c r="CB6" s="69"/>
      <c r="CC6" s="69"/>
      <c r="CD6" s="36" t="s">
        <v>9</v>
      </c>
      <c r="CE6" s="4" t="s">
        <v>1</v>
      </c>
      <c r="CF6" s="5" t="s">
        <v>21</v>
      </c>
      <c r="CG6" s="38" t="s">
        <v>31</v>
      </c>
      <c r="CH6" s="69"/>
      <c r="CI6" s="69"/>
      <c r="CJ6" s="78"/>
    </row>
    <row r="7" spans="1:88" ht="15.75" customHeight="1" x14ac:dyDescent="0.25">
      <c r="B7" s="181" t="s">
        <v>122</v>
      </c>
      <c r="C7" s="183" t="s">
        <v>115</v>
      </c>
      <c r="D7" s="69"/>
      <c r="E7" s="6">
        <v>43466</v>
      </c>
      <c r="F7" s="47"/>
      <c r="G7" s="48"/>
      <c r="H7" s="17">
        <f>E5+January[[#This Row],[Income]]-January[[#This Row],[Expenses]]</f>
        <v>1000</v>
      </c>
      <c r="I7" s="69"/>
      <c r="J7" s="69"/>
      <c r="K7" s="69"/>
      <c r="L7" s="37">
        <v>43497</v>
      </c>
      <c r="M7" s="47"/>
      <c r="N7" s="48"/>
      <c r="O7" s="39">
        <f>L5+February[[#This Row],[Income]]-February[[#This Row],[Expenses]]</f>
        <v>1121</v>
      </c>
      <c r="P7" s="69"/>
      <c r="Q7" s="69"/>
      <c r="R7" s="69"/>
      <c r="S7" s="37">
        <v>43525</v>
      </c>
      <c r="T7" s="47"/>
      <c r="U7" s="48"/>
      <c r="V7" s="39">
        <f>S5+March[[#This Row],[Income]]-March[[#This Row],[Expenses]]</f>
        <v>1121</v>
      </c>
      <c r="W7" s="69"/>
      <c r="X7" s="69"/>
      <c r="Y7" s="69"/>
      <c r="Z7" s="37">
        <v>43556</v>
      </c>
      <c r="AA7" s="47"/>
      <c r="AB7" s="48"/>
      <c r="AC7" s="39">
        <f>Z5+April[[#This Row],[Income]]-April[[#This Row],[Expenses]]</f>
        <v>1121</v>
      </c>
      <c r="AD7" s="69"/>
      <c r="AE7" s="69"/>
      <c r="AF7" s="69"/>
      <c r="AG7" s="37">
        <v>43586</v>
      </c>
      <c r="AH7" s="47"/>
      <c r="AI7" s="48"/>
      <c r="AJ7" s="39">
        <f>AG5+May[[#This Row],[Income]]-May[[#This Row],[Expenses]]</f>
        <v>1121</v>
      </c>
      <c r="AK7" s="69"/>
      <c r="AL7" s="69"/>
      <c r="AM7" s="69"/>
      <c r="AN7" s="37">
        <v>43617</v>
      </c>
      <c r="AO7" s="47"/>
      <c r="AP7" s="48"/>
      <c r="AQ7" s="39">
        <f>AN5+June[[#This Row],[Income]]-June[[#This Row],[Expenses]]</f>
        <v>1121</v>
      </c>
      <c r="AR7" s="69"/>
      <c r="AS7" s="69"/>
      <c r="AT7" s="69"/>
      <c r="AU7" s="37">
        <v>43647</v>
      </c>
      <c r="AV7" s="47"/>
      <c r="AW7" s="48"/>
      <c r="AX7" s="39">
        <f>AU5+July[[#This Row],[Income]]-July[[#This Row],[Expenses]]</f>
        <v>1121</v>
      </c>
      <c r="AY7" s="69"/>
      <c r="AZ7" s="69"/>
      <c r="BA7" s="69"/>
      <c r="BB7" s="37">
        <v>43678</v>
      </c>
      <c r="BC7" s="47"/>
      <c r="BD7" s="48"/>
      <c r="BE7" s="39">
        <f>BB5+Aug[[#This Row],[Income]]-Aug[[#This Row],[Expenses]]</f>
        <v>1121</v>
      </c>
      <c r="BF7" s="69"/>
      <c r="BG7" s="69"/>
      <c r="BH7" s="69"/>
      <c r="BI7" s="37">
        <v>43709</v>
      </c>
      <c r="BJ7" s="47"/>
      <c r="BK7" s="48"/>
      <c r="BL7" s="39">
        <f>BI5+September[[#This Row],[Income]]-September[[#This Row],[Expenses]]</f>
        <v>1121</v>
      </c>
      <c r="BM7" s="69"/>
      <c r="BN7" s="69"/>
      <c r="BO7" s="69"/>
      <c r="BP7" s="37">
        <v>43739</v>
      </c>
      <c r="BQ7" s="47"/>
      <c r="BR7" s="48"/>
      <c r="BS7" s="39">
        <f>BP5+October[[#This Row],[Income]]-October[[#This Row],[Expenses]]</f>
        <v>1121</v>
      </c>
      <c r="BT7" s="69"/>
      <c r="BU7" s="69"/>
      <c r="BV7" s="69"/>
      <c r="BW7" s="37">
        <v>43770</v>
      </c>
      <c r="BX7" s="47"/>
      <c r="BY7" s="48"/>
      <c r="BZ7" s="39">
        <f>BW5+November[[#This Row],[Income]]-November[[#This Row],[Expenses]]</f>
        <v>1121</v>
      </c>
      <c r="CA7" s="69"/>
      <c r="CB7" s="69"/>
      <c r="CC7" s="69"/>
      <c r="CD7" s="37">
        <v>43800</v>
      </c>
      <c r="CE7" s="47"/>
      <c r="CF7" s="48"/>
      <c r="CG7" s="39">
        <f>CD5+December[[#This Row],[Income]]-December[[#This Row],[Expenses]]</f>
        <v>1121</v>
      </c>
      <c r="CH7" s="69"/>
      <c r="CI7" s="69"/>
      <c r="CJ7" s="78"/>
    </row>
    <row r="8" spans="1:88" ht="15.75" customHeight="1" thickBot="1" x14ac:dyDescent="0.3">
      <c r="B8" s="182"/>
      <c r="C8" s="184"/>
      <c r="D8" s="69"/>
      <c r="E8" s="6">
        <v>43467</v>
      </c>
      <c r="F8" s="47"/>
      <c r="G8" s="48"/>
      <c r="H8" s="17">
        <f>H7+January[[#This Row],[Income]]-January[[#This Row],[Expenses]]</f>
        <v>1000</v>
      </c>
      <c r="I8" s="69"/>
      <c r="J8" s="69"/>
      <c r="K8" s="69"/>
      <c r="L8" s="37">
        <v>43498</v>
      </c>
      <c r="M8" s="47"/>
      <c r="N8" s="48"/>
      <c r="O8" s="39">
        <f>O7+February[[#This Row],[Income]]-February[[#This Row],[Expenses]]</f>
        <v>1121</v>
      </c>
      <c r="P8" s="69"/>
      <c r="Q8" s="69"/>
      <c r="R8" s="69"/>
      <c r="S8" s="37">
        <v>43526</v>
      </c>
      <c r="T8" s="47"/>
      <c r="U8" s="48"/>
      <c r="V8" s="39">
        <f>V7+March[[#This Row],[Income]]-March[[#This Row],[Expenses]]</f>
        <v>1121</v>
      </c>
      <c r="W8" s="69"/>
      <c r="X8" s="69"/>
      <c r="Y8" s="69"/>
      <c r="Z8" s="37">
        <v>43557</v>
      </c>
      <c r="AA8" s="47"/>
      <c r="AB8" s="48"/>
      <c r="AC8" s="39">
        <f>AC7+April[[#This Row],[Income]]-April[[#This Row],[Expenses]]</f>
        <v>1121</v>
      </c>
      <c r="AD8" s="69"/>
      <c r="AE8" s="69"/>
      <c r="AF8" s="69"/>
      <c r="AG8" s="37">
        <v>43587</v>
      </c>
      <c r="AH8" s="47"/>
      <c r="AI8" s="48"/>
      <c r="AJ8" s="39">
        <f>AJ7+May[[#This Row],[Income]]-May[[#This Row],[Expenses]]</f>
        <v>1121</v>
      </c>
      <c r="AK8" s="69"/>
      <c r="AL8" s="69"/>
      <c r="AM8" s="69"/>
      <c r="AN8" s="37">
        <v>43618</v>
      </c>
      <c r="AO8" s="47"/>
      <c r="AP8" s="48"/>
      <c r="AQ8" s="39">
        <f>AQ7+June[[#This Row],[Income]]-June[[#This Row],[Expenses]]</f>
        <v>1121</v>
      </c>
      <c r="AR8" s="69"/>
      <c r="AS8" s="69"/>
      <c r="AT8" s="69"/>
      <c r="AU8" s="37">
        <v>43648</v>
      </c>
      <c r="AV8" s="47"/>
      <c r="AW8" s="48"/>
      <c r="AX8" s="39">
        <f>AX7+July[[#This Row],[Income]]-July[[#This Row],[Expenses]]</f>
        <v>1121</v>
      </c>
      <c r="AY8" s="69"/>
      <c r="AZ8" s="69"/>
      <c r="BA8" s="69"/>
      <c r="BB8" s="37">
        <v>43679</v>
      </c>
      <c r="BC8" s="47"/>
      <c r="BD8" s="48"/>
      <c r="BE8" s="39">
        <f>BE7+Aug[[#This Row],[Income]]-Aug[[#This Row],[Expenses]]</f>
        <v>1121</v>
      </c>
      <c r="BF8" s="69"/>
      <c r="BG8" s="69"/>
      <c r="BH8" s="69"/>
      <c r="BI8" s="37">
        <v>43710</v>
      </c>
      <c r="BJ8" s="47"/>
      <c r="BK8" s="48"/>
      <c r="BL8" s="39">
        <f>BL7+September[[#This Row],[Income]]-September[[#This Row],[Expenses]]</f>
        <v>1121</v>
      </c>
      <c r="BM8" s="69"/>
      <c r="BN8" s="69"/>
      <c r="BO8" s="69"/>
      <c r="BP8" s="37">
        <v>43740</v>
      </c>
      <c r="BQ8" s="47"/>
      <c r="BR8" s="48"/>
      <c r="BS8" s="39">
        <f>BS7+October[[#This Row],[Income]]-October[[#This Row],[Expenses]]</f>
        <v>1121</v>
      </c>
      <c r="BT8" s="69"/>
      <c r="BU8" s="69"/>
      <c r="BV8" s="69"/>
      <c r="BW8" s="37">
        <v>43771</v>
      </c>
      <c r="BX8" s="47"/>
      <c r="BY8" s="48"/>
      <c r="BZ8" s="39">
        <f>BZ7+November[[#This Row],[Income]]-November[[#This Row],[Expenses]]</f>
        <v>1121</v>
      </c>
      <c r="CA8" s="69"/>
      <c r="CB8" s="69"/>
      <c r="CC8" s="69"/>
      <c r="CD8" s="37">
        <v>43801</v>
      </c>
      <c r="CE8" s="47"/>
      <c r="CF8" s="48"/>
      <c r="CG8" s="39">
        <f>CG7+December[[#This Row],[Income]]-December[[#This Row],[Expenses]]</f>
        <v>1121</v>
      </c>
      <c r="CH8" s="69"/>
      <c r="CI8" s="69"/>
      <c r="CJ8" s="78"/>
    </row>
    <row r="9" spans="1:88" ht="15" customHeight="1" x14ac:dyDescent="0.25">
      <c r="B9" s="170">
        <v>1000</v>
      </c>
      <c r="C9" s="171"/>
      <c r="D9" s="69"/>
      <c r="E9" s="6">
        <v>43468</v>
      </c>
      <c r="F9" s="47"/>
      <c r="G9" s="48"/>
      <c r="H9" s="17">
        <f>H8+January[[#This Row],[Income]]-January[[#This Row],[Expenses]]</f>
        <v>1000</v>
      </c>
      <c r="I9" s="69"/>
      <c r="J9" s="69"/>
      <c r="K9" s="69"/>
      <c r="L9" s="37">
        <v>43499</v>
      </c>
      <c r="M9" s="47"/>
      <c r="N9" s="48"/>
      <c r="O9" s="39">
        <f>O8+February[[#This Row],[Income]]-February[[#This Row],[Expenses]]</f>
        <v>1121</v>
      </c>
      <c r="P9" s="69"/>
      <c r="Q9" s="69"/>
      <c r="R9" s="69"/>
      <c r="S9" s="37">
        <v>43527</v>
      </c>
      <c r="T9" s="47"/>
      <c r="U9" s="48"/>
      <c r="V9" s="39">
        <f>V8+March[[#This Row],[Income]]-March[[#This Row],[Expenses]]</f>
        <v>1121</v>
      </c>
      <c r="W9" s="69"/>
      <c r="X9" s="69"/>
      <c r="Y9" s="69"/>
      <c r="Z9" s="37">
        <v>43558</v>
      </c>
      <c r="AA9" s="47"/>
      <c r="AB9" s="48"/>
      <c r="AC9" s="39">
        <f>AC8+April[[#This Row],[Income]]-April[[#This Row],[Expenses]]</f>
        <v>1121</v>
      </c>
      <c r="AD9" s="69"/>
      <c r="AE9" s="69"/>
      <c r="AF9" s="69"/>
      <c r="AG9" s="37">
        <v>43588</v>
      </c>
      <c r="AH9" s="47"/>
      <c r="AI9" s="48"/>
      <c r="AJ9" s="39">
        <f>AJ8+May[[#This Row],[Income]]-May[[#This Row],[Expenses]]</f>
        <v>1121</v>
      </c>
      <c r="AK9" s="69"/>
      <c r="AL9" s="69"/>
      <c r="AM9" s="69"/>
      <c r="AN9" s="37">
        <v>43619</v>
      </c>
      <c r="AO9" s="47"/>
      <c r="AP9" s="48"/>
      <c r="AQ9" s="39">
        <f>AQ8+June[[#This Row],[Income]]-June[[#This Row],[Expenses]]</f>
        <v>1121</v>
      </c>
      <c r="AR9" s="69"/>
      <c r="AS9" s="69"/>
      <c r="AT9" s="69"/>
      <c r="AU9" s="37">
        <v>43649</v>
      </c>
      <c r="AV9" s="47"/>
      <c r="AW9" s="48"/>
      <c r="AX9" s="39">
        <f>AX8+July[[#This Row],[Income]]-July[[#This Row],[Expenses]]</f>
        <v>1121</v>
      </c>
      <c r="AY9" s="69"/>
      <c r="AZ9" s="69"/>
      <c r="BA9" s="69"/>
      <c r="BB9" s="37">
        <v>43680</v>
      </c>
      <c r="BC9" s="47"/>
      <c r="BD9" s="48"/>
      <c r="BE9" s="39">
        <f>BE8+Aug[[#This Row],[Income]]-Aug[[#This Row],[Expenses]]</f>
        <v>1121</v>
      </c>
      <c r="BF9" s="69"/>
      <c r="BG9" s="69"/>
      <c r="BH9" s="69"/>
      <c r="BI9" s="37">
        <v>43711</v>
      </c>
      <c r="BJ9" s="47"/>
      <c r="BK9" s="48"/>
      <c r="BL9" s="39">
        <f>BL8+September[[#This Row],[Income]]-September[[#This Row],[Expenses]]</f>
        <v>1121</v>
      </c>
      <c r="BM9" s="69"/>
      <c r="BN9" s="69"/>
      <c r="BO9" s="69"/>
      <c r="BP9" s="37">
        <v>43741</v>
      </c>
      <c r="BQ9" s="47"/>
      <c r="BR9" s="48"/>
      <c r="BS9" s="39">
        <f>BS8+October[[#This Row],[Income]]-October[[#This Row],[Expenses]]</f>
        <v>1121</v>
      </c>
      <c r="BT9" s="69"/>
      <c r="BU9" s="69"/>
      <c r="BV9" s="69"/>
      <c r="BW9" s="37">
        <v>43772</v>
      </c>
      <c r="BX9" s="47"/>
      <c r="BY9" s="48"/>
      <c r="BZ9" s="39">
        <f>BZ8+November[[#This Row],[Income]]-November[[#This Row],[Expenses]]</f>
        <v>1121</v>
      </c>
      <c r="CA9" s="69"/>
      <c r="CB9" s="69"/>
      <c r="CC9" s="69"/>
      <c r="CD9" s="37">
        <v>43802</v>
      </c>
      <c r="CE9" s="47"/>
      <c r="CF9" s="48"/>
      <c r="CG9" s="39">
        <f>CG8+December[[#This Row],[Income]]-December[[#This Row],[Expenses]]</f>
        <v>1121</v>
      </c>
      <c r="CH9" s="69"/>
      <c r="CI9" s="69"/>
      <c r="CJ9" s="78"/>
    </row>
    <row r="10" spans="1:88" ht="15" customHeight="1" x14ac:dyDescent="0.25">
      <c r="B10" s="172"/>
      <c r="C10" s="173"/>
      <c r="D10" s="69"/>
      <c r="E10" s="6">
        <v>43469</v>
      </c>
      <c r="F10" s="47"/>
      <c r="G10" s="48"/>
      <c r="H10" s="17">
        <f>H9+January[[#This Row],[Income]]-January[[#This Row],[Expenses]]</f>
        <v>1000</v>
      </c>
      <c r="I10" s="69"/>
      <c r="J10" s="69"/>
      <c r="K10" s="69"/>
      <c r="L10" s="37">
        <v>43500</v>
      </c>
      <c r="M10" s="47"/>
      <c r="N10" s="48"/>
      <c r="O10" s="39">
        <f>O9+February[[#This Row],[Income]]-February[[#This Row],[Expenses]]</f>
        <v>1121</v>
      </c>
      <c r="P10" s="69"/>
      <c r="Q10" s="69"/>
      <c r="R10" s="69"/>
      <c r="S10" s="37">
        <v>43528</v>
      </c>
      <c r="T10" s="47"/>
      <c r="U10" s="48"/>
      <c r="V10" s="39">
        <f>V9+March[[#This Row],[Income]]-March[[#This Row],[Expenses]]</f>
        <v>1121</v>
      </c>
      <c r="W10" s="69"/>
      <c r="X10" s="69"/>
      <c r="Y10" s="69"/>
      <c r="Z10" s="37">
        <v>43559</v>
      </c>
      <c r="AA10" s="47"/>
      <c r="AB10" s="48"/>
      <c r="AC10" s="39">
        <f>AC9+April[[#This Row],[Income]]-April[[#This Row],[Expenses]]</f>
        <v>1121</v>
      </c>
      <c r="AD10" s="69"/>
      <c r="AE10" s="69"/>
      <c r="AF10" s="69"/>
      <c r="AG10" s="37">
        <v>43589</v>
      </c>
      <c r="AH10" s="47"/>
      <c r="AI10" s="48"/>
      <c r="AJ10" s="39">
        <f>AJ9+May[[#This Row],[Income]]-May[[#This Row],[Expenses]]</f>
        <v>1121</v>
      </c>
      <c r="AK10" s="69"/>
      <c r="AL10" s="69"/>
      <c r="AM10" s="69"/>
      <c r="AN10" s="37">
        <v>43620</v>
      </c>
      <c r="AO10" s="47"/>
      <c r="AP10" s="48"/>
      <c r="AQ10" s="39">
        <f>AQ9+June[[#This Row],[Income]]-June[[#This Row],[Expenses]]</f>
        <v>1121</v>
      </c>
      <c r="AR10" s="69"/>
      <c r="AS10" s="69"/>
      <c r="AT10" s="69"/>
      <c r="AU10" s="37">
        <v>43650</v>
      </c>
      <c r="AV10" s="47"/>
      <c r="AW10" s="48"/>
      <c r="AX10" s="39">
        <f>AX9+July[[#This Row],[Income]]-July[[#This Row],[Expenses]]</f>
        <v>1121</v>
      </c>
      <c r="AY10" s="69"/>
      <c r="AZ10" s="69"/>
      <c r="BA10" s="69"/>
      <c r="BB10" s="37">
        <v>43681</v>
      </c>
      <c r="BC10" s="47"/>
      <c r="BD10" s="48"/>
      <c r="BE10" s="39">
        <f>BE9+Aug[[#This Row],[Income]]-Aug[[#This Row],[Expenses]]</f>
        <v>1121</v>
      </c>
      <c r="BF10" s="69"/>
      <c r="BG10" s="69"/>
      <c r="BH10" s="69"/>
      <c r="BI10" s="37">
        <v>43712</v>
      </c>
      <c r="BJ10" s="47"/>
      <c r="BK10" s="48"/>
      <c r="BL10" s="39">
        <f>BL9+September[[#This Row],[Income]]-September[[#This Row],[Expenses]]</f>
        <v>1121</v>
      </c>
      <c r="BM10" s="69"/>
      <c r="BN10" s="69"/>
      <c r="BO10" s="69"/>
      <c r="BP10" s="37">
        <v>43742</v>
      </c>
      <c r="BQ10" s="47"/>
      <c r="BR10" s="48"/>
      <c r="BS10" s="39">
        <f>BS9+October[[#This Row],[Income]]-October[[#This Row],[Expenses]]</f>
        <v>1121</v>
      </c>
      <c r="BT10" s="69"/>
      <c r="BU10" s="69"/>
      <c r="BV10" s="69"/>
      <c r="BW10" s="37">
        <v>43773</v>
      </c>
      <c r="BX10" s="47"/>
      <c r="BY10" s="48"/>
      <c r="BZ10" s="39">
        <f>BZ9+November[[#This Row],[Income]]-November[[#This Row],[Expenses]]</f>
        <v>1121</v>
      </c>
      <c r="CA10" s="69"/>
      <c r="CB10" s="69"/>
      <c r="CC10" s="69"/>
      <c r="CD10" s="37">
        <v>43803</v>
      </c>
      <c r="CE10" s="47"/>
      <c r="CF10" s="48"/>
      <c r="CG10" s="39">
        <f>CG9+December[[#This Row],[Income]]-December[[#This Row],[Expenses]]</f>
        <v>1121</v>
      </c>
      <c r="CH10" s="69"/>
      <c r="CI10" s="69"/>
      <c r="CJ10" s="78"/>
    </row>
    <row r="11" spans="1:88" ht="15.75" thickBot="1" x14ac:dyDescent="0.3">
      <c r="B11" s="174"/>
      <c r="C11" s="175"/>
      <c r="D11" s="69"/>
      <c r="E11" s="6">
        <v>43470</v>
      </c>
      <c r="F11" s="47"/>
      <c r="G11" s="48"/>
      <c r="H11" s="17">
        <f>H10+January[[#This Row],[Income]]-January[[#This Row],[Expenses]]</f>
        <v>1000</v>
      </c>
      <c r="I11" s="69"/>
      <c r="J11" s="69"/>
      <c r="K11" s="69"/>
      <c r="L11" s="37">
        <v>43501</v>
      </c>
      <c r="M11" s="47"/>
      <c r="N11" s="48"/>
      <c r="O11" s="39">
        <f>O10+February[[#This Row],[Income]]-February[[#This Row],[Expenses]]</f>
        <v>1121</v>
      </c>
      <c r="P11" s="69"/>
      <c r="Q11" s="69"/>
      <c r="R11" s="69"/>
      <c r="S11" s="37">
        <v>43529</v>
      </c>
      <c r="T11" s="47"/>
      <c r="U11" s="48"/>
      <c r="V11" s="39">
        <f>V10+March[[#This Row],[Income]]-March[[#This Row],[Expenses]]</f>
        <v>1121</v>
      </c>
      <c r="W11" s="69"/>
      <c r="X11" s="69"/>
      <c r="Y11" s="69"/>
      <c r="Z11" s="37">
        <v>43560</v>
      </c>
      <c r="AA11" s="47"/>
      <c r="AB11" s="48"/>
      <c r="AC11" s="39">
        <f>AC10+April[[#This Row],[Income]]-April[[#This Row],[Expenses]]</f>
        <v>1121</v>
      </c>
      <c r="AD11" s="69"/>
      <c r="AE11" s="69"/>
      <c r="AF11" s="69"/>
      <c r="AG11" s="37">
        <v>43590</v>
      </c>
      <c r="AH11" s="47"/>
      <c r="AI11" s="48"/>
      <c r="AJ11" s="39">
        <f>AJ10+May[[#This Row],[Income]]-May[[#This Row],[Expenses]]</f>
        <v>1121</v>
      </c>
      <c r="AK11" s="69"/>
      <c r="AL11" s="69"/>
      <c r="AM11" s="69"/>
      <c r="AN11" s="37">
        <v>43621</v>
      </c>
      <c r="AO11" s="47"/>
      <c r="AP11" s="48"/>
      <c r="AQ11" s="39">
        <f>AQ10+June[[#This Row],[Income]]-June[[#This Row],[Expenses]]</f>
        <v>1121</v>
      </c>
      <c r="AR11" s="69"/>
      <c r="AS11" s="69"/>
      <c r="AT11" s="69"/>
      <c r="AU11" s="37">
        <v>43651</v>
      </c>
      <c r="AV11" s="47"/>
      <c r="AW11" s="48"/>
      <c r="AX11" s="39">
        <f>AX10+July[[#This Row],[Income]]-July[[#This Row],[Expenses]]</f>
        <v>1121</v>
      </c>
      <c r="AY11" s="69"/>
      <c r="AZ11" s="69"/>
      <c r="BA11" s="69"/>
      <c r="BB11" s="37">
        <v>43682</v>
      </c>
      <c r="BC11" s="47"/>
      <c r="BD11" s="48"/>
      <c r="BE11" s="39">
        <f>BE10+Aug[[#This Row],[Income]]-Aug[[#This Row],[Expenses]]</f>
        <v>1121</v>
      </c>
      <c r="BF11" s="69"/>
      <c r="BG11" s="69"/>
      <c r="BH11" s="69"/>
      <c r="BI11" s="37">
        <v>43713</v>
      </c>
      <c r="BJ11" s="47"/>
      <c r="BK11" s="48"/>
      <c r="BL11" s="39">
        <f>BL10+September[[#This Row],[Income]]-September[[#This Row],[Expenses]]</f>
        <v>1121</v>
      </c>
      <c r="BM11" s="69"/>
      <c r="BN11" s="69"/>
      <c r="BO11" s="69"/>
      <c r="BP11" s="37">
        <v>43743</v>
      </c>
      <c r="BQ11" s="47"/>
      <c r="BR11" s="48"/>
      <c r="BS11" s="39">
        <f>BS10+October[[#This Row],[Income]]-October[[#This Row],[Expenses]]</f>
        <v>1121</v>
      </c>
      <c r="BT11" s="69"/>
      <c r="BU11" s="69"/>
      <c r="BV11" s="69"/>
      <c r="BW11" s="37">
        <v>43774</v>
      </c>
      <c r="BX11" s="47"/>
      <c r="BY11" s="48"/>
      <c r="BZ11" s="39">
        <f>BZ10+November[[#This Row],[Income]]-November[[#This Row],[Expenses]]</f>
        <v>1121</v>
      </c>
      <c r="CA11" s="69"/>
      <c r="CB11" s="69"/>
      <c r="CC11" s="69"/>
      <c r="CD11" s="37">
        <v>43804</v>
      </c>
      <c r="CE11" s="47"/>
      <c r="CF11" s="48"/>
      <c r="CG11" s="39">
        <f>CG10+December[[#This Row],[Income]]-December[[#This Row],[Expenses]]</f>
        <v>1121</v>
      </c>
      <c r="CH11" s="69"/>
      <c r="CI11" s="69"/>
      <c r="CJ11" s="78"/>
    </row>
    <row r="12" spans="1:88" ht="15.75" customHeight="1" x14ac:dyDescent="0.25">
      <c r="B12" s="281" t="s">
        <v>119</v>
      </c>
      <c r="C12" s="282"/>
      <c r="D12" s="69"/>
      <c r="E12" s="6">
        <v>43471</v>
      </c>
      <c r="F12" s="47"/>
      <c r="G12" s="48"/>
      <c r="H12" s="17">
        <f>H11+January[[#This Row],[Income]]-January[[#This Row],[Expenses]]</f>
        <v>1000</v>
      </c>
      <c r="I12" s="69"/>
      <c r="J12" s="69"/>
      <c r="K12" s="69"/>
      <c r="L12" s="37">
        <v>43502</v>
      </c>
      <c r="M12" s="47"/>
      <c r="N12" s="48"/>
      <c r="O12" s="39">
        <f>O11+February[[#This Row],[Income]]-February[[#This Row],[Expenses]]</f>
        <v>1121</v>
      </c>
      <c r="P12" s="69"/>
      <c r="Q12" s="69"/>
      <c r="R12" s="69"/>
      <c r="S12" s="37">
        <v>43530</v>
      </c>
      <c r="T12" s="47"/>
      <c r="U12" s="48"/>
      <c r="V12" s="39">
        <f>V11+March[[#This Row],[Income]]-March[[#This Row],[Expenses]]</f>
        <v>1121</v>
      </c>
      <c r="W12" s="69"/>
      <c r="X12" s="69"/>
      <c r="Y12" s="69"/>
      <c r="Z12" s="37">
        <v>43561</v>
      </c>
      <c r="AA12" s="47"/>
      <c r="AB12" s="48"/>
      <c r="AC12" s="39">
        <f>AC11+April[[#This Row],[Income]]-April[[#This Row],[Expenses]]</f>
        <v>1121</v>
      </c>
      <c r="AD12" s="69"/>
      <c r="AE12" s="69"/>
      <c r="AF12" s="69"/>
      <c r="AG12" s="37">
        <v>43591</v>
      </c>
      <c r="AH12" s="47"/>
      <c r="AI12" s="48"/>
      <c r="AJ12" s="39">
        <f>AJ11+May[[#This Row],[Income]]-May[[#This Row],[Expenses]]</f>
        <v>1121</v>
      </c>
      <c r="AK12" s="69"/>
      <c r="AL12" s="69"/>
      <c r="AM12" s="69"/>
      <c r="AN12" s="37">
        <v>43622</v>
      </c>
      <c r="AO12" s="47"/>
      <c r="AP12" s="48"/>
      <c r="AQ12" s="39">
        <f>AQ11+June[[#This Row],[Income]]-June[[#This Row],[Expenses]]</f>
        <v>1121</v>
      </c>
      <c r="AR12" s="69"/>
      <c r="AS12" s="69"/>
      <c r="AT12" s="69"/>
      <c r="AU12" s="37">
        <v>43652</v>
      </c>
      <c r="AV12" s="47"/>
      <c r="AW12" s="48"/>
      <c r="AX12" s="39">
        <f>AX11+July[[#This Row],[Income]]-July[[#This Row],[Expenses]]</f>
        <v>1121</v>
      </c>
      <c r="AY12" s="69"/>
      <c r="AZ12" s="69"/>
      <c r="BA12" s="69"/>
      <c r="BB12" s="37">
        <v>43683</v>
      </c>
      <c r="BC12" s="47"/>
      <c r="BD12" s="48"/>
      <c r="BE12" s="39">
        <f>BE11+Aug[[#This Row],[Income]]-Aug[[#This Row],[Expenses]]</f>
        <v>1121</v>
      </c>
      <c r="BF12" s="69"/>
      <c r="BG12" s="69"/>
      <c r="BH12" s="69"/>
      <c r="BI12" s="37">
        <v>43714</v>
      </c>
      <c r="BJ12" s="47"/>
      <c r="BK12" s="48"/>
      <c r="BL12" s="39">
        <f>BL11+September[[#This Row],[Income]]-September[[#This Row],[Expenses]]</f>
        <v>1121</v>
      </c>
      <c r="BM12" s="69"/>
      <c r="BN12" s="69"/>
      <c r="BO12" s="69"/>
      <c r="BP12" s="37">
        <v>43744</v>
      </c>
      <c r="BQ12" s="47"/>
      <c r="BR12" s="48"/>
      <c r="BS12" s="39">
        <f>BS11+October[[#This Row],[Income]]-October[[#This Row],[Expenses]]</f>
        <v>1121</v>
      </c>
      <c r="BT12" s="69"/>
      <c r="BU12" s="69"/>
      <c r="BV12" s="69"/>
      <c r="BW12" s="37">
        <v>43775</v>
      </c>
      <c r="BX12" s="47"/>
      <c r="BY12" s="48"/>
      <c r="BZ12" s="39">
        <f>BZ11+November[[#This Row],[Income]]-November[[#This Row],[Expenses]]</f>
        <v>1121</v>
      </c>
      <c r="CA12" s="69"/>
      <c r="CB12" s="69"/>
      <c r="CC12" s="69"/>
      <c r="CD12" s="37">
        <v>43805</v>
      </c>
      <c r="CE12" s="47"/>
      <c r="CF12" s="48"/>
      <c r="CG12" s="39">
        <f>CG11+December[[#This Row],[Income]]-December[[#This Row],[Expenses]]</f>
        <v>1121</v>
      </c>
      <c r="CH12" s="69"/>
      <c r="CI12" s="69"/>
      <c r="CJ12" s="78"/>
    </row>
    <row r="13" spans="1:88" ht="15.95" customHeight="1" thickBot="1" x14ac:dyDescent="0.3">
      <c r="B13" s="283"/>
      <c r="C13" s="284"/>
      <c r="D13" s="69"/>
      <c r="E13" s="6">
        <v>43472</v>
      </c>
      <c r="F13" s="47"/>
      <c r="G13" s="48"/>
      <c r="H13" s="17">
        <f>H12+January[[#This Row],[Income]]-January[[#This Row],[Expenses]]</f>
        <v>1000</v>
      </c>
      <c r="I13" s="69"/>
      <c r="J13" s="69"/>
      <c r="K13" s="69"/>
      <c r="L13" s="37">
        <v>43503</v>
      </c>
      <c r="M13" s="47"/>
      <c r="N13" s="48"/>
      <c r="O13" s="39">
        <f>O12+February[[#This Row],[Income]]-February[[#This Row],[Expenses]]</f>
        <v>1121</v>
      </c>
      <c r="P13" s="69"/>
      <c r="Q13" s="69"/>
      <c r="R13" s="69"/>
      <c r="S13" s="37">
        <v>43531</v>
      </c>
      <c r="T13" s="47"/>
      <c r="U13" s="48"/>
      <c r="V13" s="39">
        <f>V12+March[[#This Row],[Income]]-March[[#This Row],[Expenses]]</f>
        <v>1121</v>
      </c>
      <c r="W13" s="69"/>
      <c r="X13" s="69"/>
      <c r="Y13" s="69"/>
      <c r="Z13" s="37">
        <v>43562</v>
      </c>
      <c r="AA13" s="47"/>
      <c r="AB13" s="48"/>
      <c r="AC13" s="39">
        <f>AC12+April[[#This Row],[Income]]-April[[#This Row],[Expenses]]</f>
        <v>1121</v>
      </c>
      <c r="AD13" s="69"/>
      <c r="AE13" s="69"/>
      <c r="AF13" s="69"/>
      <c r="AG13" s="37">
        <v>43592</v>
      </c>
      <c r="AH13" s="47"/>
      <c r="AI13" s="48"/>
      <c r="AJ13" s="39">
        <f>AJ12+May[[#This Row],[Income]]-May[[#This Row],[Expenses]]</f>
        <v>1121</v>
      </c>
      <c r="AK13" s="69"/>
      <c r="AL13" s="69"/>
      <c r="AM13" s="69"/>
      <c r="AN13" s="37">
        <v>43623</v>
      </c>
      <c r="AO13" s="47"/>
      <c r="AP13" s="48"/>
      <c r="AQ13" s="39">
        <f>AQ12+June[[#This Row],[Income]]-June[[#This Row],[Expenses]]</f>
        <v>1121</v>
      </c>
      <c r="AR13" s="69"/>
      <c r="AS13" s="69"/>
      <c r="AT13" s="69"/>
      <c r="AU13" s="37">
        <v>43653</v>
      </c>
      <c r="AV13" s="47"/>
      <c r="AW13" s="48"/>
      <c r="AX13" s="39">
        <f>AX12+July[[#This Row],[Income]]-July[[#This Row],[Expenses]]</f>
        <v>1121</v>
      </c>
      <c r="AY13" s="69"/>
      <c r="AZ13" s="69"/>
      <c r="BA13" s="69"/>
      <c r="BB13" s="37">
        <v>43684</v>
      </c>
      <c r="BC13" s="47"/>
      <c r="BD13" s="48"/>
      <c r="BE13" s="39">
        <f>BE12+Aug[[#This Row],[Income]]-Aug[[#This Row],[Expenses]]</f>
        <v>1121</v>
      </c>
      <c r="BF13" s="69"/>
      <c r="BG13" s="69"/>
      <c r="BH13" s="69"/>
      <c r="BI13" s="37">
        <v>43715</v>
      </c>
      <c r="BJ13" s="47"/>
      <c r="BK13" s="48"/>
      <c r="BL13" s="39">
        <f>BL12+September[[#This Row],[Income]]-September[[#This Row],[Expenses]]</f>
        <v>1121</v>
      </c>
      <c r="BM13" s="69"/>
      <c r="BN13" s="69"/>
      <c r="BO13" s="69"/>
      <c r="BP13" s="37">
        <v>43745</v>
      </c>
      <c r="BQ13" s="47"/>
      <c r="BR13" s="48"/>
      <c r="BS13" s="39">
        <f>BS12+October[[#This Row],[Income]]-October[[#This Row],[Expenses]]</f>
        <v>1121</v>
      </c>
      <c r="BT13" s="69"/>
      <c r="BU13" s="69"/>
      <c r="BV13" s="69"/>
      <c r="BW13" s="37">
        <v>43776</v>
      </c>
      <c r="BX13" s="47"/>
      <c r="BY13" s="48"/>
      <c r="BZ13" s="39">
        <f>BZ12+November[[#This Row],[Income]]-November[[#This Row],[Expenses]]</f>
        <v>1121</v>
      </c>
      <c r="CA13" s="69"/>
      <c r="CB13" s="69"/>
      <c r="CC13" s="69"/>
      <c r="CD13" s="37">
        <v>43806</v>
      </c>
      <c r="CE13" s="47"/>
      <c r="CF13" s="48"/>
      <c r="CG13" s="39">
        <f>CG12+December[[#This Row],[Income]]-December[[#This Row],[Expenses]]</f>
        <v>1121</v>
      </c>
      <c r="CH13" s="69"/>
      <c r="CI13" s="69"/>
      <c r="CJ13" s="78"/>
    </row>
    <row r="14" spans="1:88" ht="15" customHeight="1" x14ac:dyDescent="0.25">
      <c r="B14" s="287" t="s">
        <v>120</v>
      </c>
      <c r="C14" s="288"/>
      <c r="D14" s="69"/>
      <c r="E14" s="6">
        <v>43473</v>
      </c>
      <c r="F14" s="47"/>
      <c r="G14" s="48"/>
      <c r="H14" s="17">
        <f>H13+January[[#This Row],[Income]]-January[[#This Row],[Expenses]]</f>
        <v>1000</v>
      </c>
      <c r="I14" s="69"/>
      <c r="J14" s="69"/>
      <c r="K14" s="69"/>
      <c r="L14" s="37">
        <v>43504</v>
      </c>
      <c r="M14" s="47"/>
      <c r="N14" s="48"/>
      <c r="O14" s="39">
        <f>O13+February[[#This Row],[Income]]-February[[#This Row],[Expenses]]</f>
        <v>1121</v>
      </c>
      <c r="P14" s="69"/>
      <c r="Q14" s="69"/>
      <c r="R14" s="69"/>
      <c r="S14" s="37">
        <v>43532</v>
      </c>
      <c r="T14" s="47"/>
      <c r="U14" s="48"/>
      <c r="V14" s="39">
        <f>V13+March[[#This Row],[Income]]-March[[#This Row],[Expenses]]</f>
        <v>1121</v>
      </c>
      <c r="W14" s="69"/>
      <c r="X14" s="69"/>
      <c r="Y14" s="69"/>
      <c r="Z14" s="37">
        <v>43563</v>
      </c>
      <c r="AA14" s="47"/>
      <c r="AB14" s="48"/>
      <c r="AC14" s="39">
        <f>AC13+April[[#This Row],[Income]]-April[[#This Row],[Expenses]]</f>
        <v>1121</v>
      </c>
      <c r="AD14" s="69"/>
      <c r="AE14" s="69"/>
      <c r="AF14" s="69"/>
      <c r="AG14" s="37">
        <v>43593</v>
      </c>
      <c r="AH14" s="47"/>
      <c r="AI14" s="48"/>
      <c r="AJ14" s="39">
        <f>AJ13+May[[#This Row],[Income]]-May[[#This Row],[Expenses]]</f>
        <v>1121</v>
      </c>
      <c r="AK14" s="69"/>
      <c r="AL14" s="69"/>
      <c r="AM14" s="69"/>
      <c r="AN14" s="37">
        <v>43624</v>
      </c>
      <c r="AO14" s="47"/>
      <c r="AP14" s="48"/>
      <c r="AQ14" s="39">
        <f>AQ13+June[[#This Row],[Income]]-June[[#This Row],[Expenses]]</f>
        <v>1121</v>
      </c>
      <c r="AR14" s="69"/>
      <c r="AS14" s="69"/>
      <c r="AT14" s="69"/>
      <c r="AU14" s="37">
        <v>43654</v>
      </c>
      <c r="AV14" s="47"/>
      <c r="AW14" s="48"/>
      <c r="AX14" s="39">
        <f>AX13+July[[#This Row],[Income]]-July[[#This Row],[Expenses]]</f>
        <v>1121</v>
      </c>
      <c r="AY14" s="69"/>
      <c r="AZ14" s="69"/>
      <c r="BA14" s="69"/>
      <c r="BB14" s="37">
        <v>43685</v>
      </c>
      <c r="BC14" s="47"/>
      <c r="BD14" s="48"/>
      <c r="BE14" s="39">
        <f>BE13+Aug[[#This Row],[Income]]-Aug[[#This Row],[Expenses]]</f>
        <v>1121</v>
      </c>
      <c r="BF14" s="69"/>
      <c r="BG14" s="69"/>
      <c r="BH14" s="69"/>
      <c r="BI14" s="37">
        <v>43716</v>
      </c>
      <c r="BJ14" s="47"/>
      <c r="BK14" s="48"/>
      <c r="BL14" s="39">
        <f>BL13+September[[#This Row],[Income]]-September[[#This Row],[Expenses]]</f>
        <v>1121</v>
      </c>
      <c r="BM14" s="69"/>
      <c r="BN14" s="69"/>
      <c r="BO14" s="69"/>
      <c r="BP14" s="37">
        <v>43746</v>
      </c>
      <c r="BQ14" s="47"/>
      <c r="BR14" s="48"/>
      <c r="BS14" s="39">
        <f>BS13+October[[#This Row],[Income]]-October[[#This Row],[Expenses]]</f>
        <v>1121</v>
      </c>
      <c r="BT14" s="69"/>
      <c r="BU14" s="69"/>
      <c r="BV14" s="69"/>
      <c r="BW14" s="37">
        <v>43777</v>
      </c>
      <c r="BX14" s="47"/>
      <c r="BY14" s="48"/>
      <c r="BZ14" s="39">
        <f>BZ13+November[[#This Row],[Income]]-November[[#This Row],[Expenses]]</f>
        <v>1121</v>
      </c>
      <c r="CA14" s="69"/>
      <c r="CB14" s="69"/>
      <c r="CC14" s="69"/>
      <c r="CD14" s="37">
        <v>43807</v>
      </c>
      <c r="CE14" s="47"/>
      <c r="CF14" s="48"/>
      <c r="CG14" s="39">
        <f>CG13+December[[#This Row],[Income]]-December[[#This Row],[Expenses]]</f>
        <v>1121</v>
      </c>
      <c r="CH14" s="69"/>
      <c r="CI14" s="69"/>
      <c r="CJ14" s="78"/>
    </row>
    <row r="15" spans="1:88" ht="15" customHeight="1" thickBot="1" x14ac:dyDescent="0.3">
      <c r="B15" s="289"/>
      <c r="C15" s="290"/>
      <c r="D15" s="69"/>
      <c r="E15" s="6">
        <v>43474</v>
      </c>
      <c r="F15" s="47"/>
      <c r="G15" s="48"/>
      <c r="H15" s="17">
        <f>H14+January[[#This Row],[Income]]-January[[#This Row],[Expenses]]</f>
        <v>1000</v>
      </c>
      <c r="I15" s="69"/>
      <c r="J15" s="69"/>
      <c r="K15" s="69"/>
      <c r="L15" s="37">
        <v>43505</v>
      </c>
      <c r="M15" s="47"/>
      <c r="N15" s="48"/>
      <c r="O15" s="39">
        <f>O14+February[[#This Row],[Income]]-February[[#This Row],[Expenses]]</f>
        <v>1121</v>
      </c>
      <c r="P15" s="69"/>
      <c r="Q15" s="69"/>
      <c r="R15" s="69"/>
      <c r="S15" s="37">
        <v>43533</v>
      </c>
      <c r="T15" s="47"/>
      <c r="U15" s="48"/>
      <c r="V15" s="39">
        <f>V14+March[[#This Row],[Income]]-March[[#This Row],[Expenses]]</f>
        <v>1121</v>
      </c>
      <c r="W15" s="69"/>
      <c r="X15" s="69"/>
      <c r="Y15" s="69"/>
      <c r="Z15" s="37">
        <v>43564</v>
      </c>
      <c r="AA15" s="47"/>
      <c r="AB15" s="48"/>
      <c r="AC15" s="39">
        <f>AC14+April[[#This Row],[Income]]-April[[#This Row],[Expenses]]</f>
        <v>1121</v>
      </c>
      <c r="AD15" s="69"/>
      <c r="AE15" s="69"/>
      <c r="AF15" s="69"/>
      <c r="AG15" s="37">
        <v>43594</v>
      </c>
      <c r="AH15" s="47"/>
      <c r="AI15" s="48"/>
      <c r="AJ15" s="39">
        <f>AJ14+May[[#This Row],[Income]]-May[[#This Row],[Expenses]]</f>
        <v>1121</v>
      </c>
      <c r="AK15" s="69"/>
      <c r="AL15" s="69"/>
      <c r="AM15" s="69"/>
      <c r="AN15" s="37">
        <v>43625</v>
      </c>
      <c r="AO15" s="47"/>
      <c r="AP15" s="48"/>
      <c r="AQ15" s="39">
        <f>AQ14+June[[#This Row],[Income]]-June[[#This Row],[Expenses]]</f>
        <v>1121</v>
      </c>
      <c r="AR15" s="69"/>
      <c r="AS15" s="69"/>
      <c r="AT15" s="69"/>
      <c r="AU15" s="37">
        <v>43655</v>
      </c>
      <c r="AV15" s="47"/>
      <c r="AW15" s="48"/>
      <c r="AX15" s="39">
        <f>AX14+July[[#This Row],[Income]]-July[[#This Row],[Expenses]]</f>
        <v>1121</v>
      </c>
      <c r="AY15" s="69"/>
      <c r="AZ15" s="69"/>
      <c r="BA15" s="69"/>
      <c r="BB15" s="37">
        <v>43686</v>
      </c>
      <c r="BC15" s="47"/>
      <c r="BD15" s="48"/>
      <c r="BE15" s="39">
        <f>BE14+Aug[[#This Row],[Income]]-Aug[[#This Row],[Expenses]]</f>
        <v>1121</v>
      </c>
      <c r="BF15" s="69"/>
      <c r="BG15" s="69"/>
      <c r="BH15" s="69"/>
      <c r="BI15" s="37">
        <v>43717</v>
      </c>
      <c r="BJ15" s="47"/>
      <c r="BK15" s="48"/>
      <c r="BL15" s="39">
        <f>BL14+September[[#This Row],[Income]]-September[[#This Row],[Expenses]]</f>
        <v>1121</v>
      </c>
      <c r="BM15" s="69"/>
      <c r="BN15" s="69"/>
      <c r="BO15" s="69"/>
      <c r="BP15" s="37">
        <v>43747</v>
      </c>
      <c r="BQ15" s="47"/>
      <c r="BR15" s="48"/>
      <c r="BS15" s="39">
        <f>BS14+October[[#This Row],[Income]]-October[[#This Row],[Expenses]]</f>
        <v>1121</v>
      </c>
      <c r="BT15" s="69"/>
      <c r="BU15" s="69"/>
      <c r="BV15" s="69"/>
      <c r="BW15" s="37">
        <v>43778</v>
      </c>
      <c r="BX15" s="47"/>
      <c r="BY15" s="48"/>
      <c r="BZ15" s="39">
        <f>BZ14+November[[#This Row],[Income]]-November[[#This Row],[Expenses]]</f>
        <v>1121</v>
      </c>
      <c r="CA15" s="69"/>
      <c r="CB15" s="69"/>
      <c r="CC15" s="69"/>
      <c r="CD15" s="37">
        <v>43808</v>
      </c>
      <c r="CE15" s="47"/>
      <c r="CF15" s="48"/>
      <c r="CG15" s="39">
        <f>CG14+December[[#This Row],[Income]]-December[[#This Row],[Expenses]]</f>
        <v>1121</v>
      </c>
      <c r="CH15" s="69"/>
      <c r="CI15" s="69"/>
      <c r="CJ15" s="78"/>
    </row>
    <row r="16" spans="1:88" ht="15" customHeight="1" x14ac:dyDescent="0.25">
      <c r="B16" s="281" t="s">
        <v>106</v>
      </c>
      <c r="C16" s="282"/>
      <c r="D16" s="69"/>
      <c r="E16" s="6">
        <v>43475</v>
      </c>
      <c r="F16" s="47"/>
      <c r="G16" s="48"/>
      <c r="H16" s="17">
        <f>H15+January[[#This Row],[Income]]-January[[#This Row],[Expenses]]</f>
        <v>1000</v>
      </c>
      <c r="I16" s="69"/>
      <c r="J16" s="69"/>
      <c r="K16" s="69"/>
      <c r="L16" s="37">
        <v>43506</v>
      </c>
      <c r="M16" s="47"/>
      <c r="N16" s="48"/>
      <c r="O16" s="39">
        <f>O15+February[[#This Row],[Income]]-February[[#This Row],[Expenses]]</f>
        <v>1121</v>
      </c>
      <c r="P16" s="69"/>
      <c r="Q16" s="69"/>
      <c r="R16" s="69"/>
      <c r="S16" s="37">
        <v>43534</v>
      </c>
      <c r="T16" s="47"/>
      <c r="U16" s="48"/>
      <c r="V16" s="39">
        <f>V15+March[[#This Row],[Income]]-March[[#This Row],[Expenses]]</f>
        <v>1121</v>
      </c>
      <c r="W16" s="69"/>
      <c r="X16" s="69"/>
      <c r="Y16" s="69"/>
      <c r="Z16" s="37">
        <v>43565</v>
      </c>
      <c r="AA16" s="47"/>
      <c r="AB16" s="48"/>
      <c r="AC16" s="39">
        <f>AC15+April[[#This Row],[Income]]-April[[#This Row],[Expenses]]</f>
        <v>1121</v>
      </c>
      <c r="AD16" s="69"/>
      <c r="AE16" s="69"/>
      <c r="AF16" s="69"/>
      <c r="AG16" s="37">
        <v>43595</v>
      </c>
      <c r="AH16" s="47"/>
      <c r="AI16" s="48"/>
      <c r="AJ16" s="39">
        <f>AJ15+May[[#This Row],[Income]]-May[[#This Row],[Expenses]]</f>
        <v>1121</v>
      </c>
      <c r="AK16" s="69"/>
      <c r="AL16" s="69"/>
      <c r="AM16" s="69"/>
      <c r="AN16" s="37">
        <v>43626</v>
      </c>
      <c r="AO16" s="47"/>
      <c r="AP16" s="48"/>
      <c r="AQ16" s="39">
        <f>AQ15+June[[#This Row],[Income]]-June[[#This Row],[Expenses]]</f>
        <v>1121</v>
      </c>
      <c r="AR16" s="69"/>
      <c r="AS16" s="69"/>
      <c r="AT16" s="69"/>
      <c r="AU16" s="37">
        <v>43656</v>
      </c>
      <c r="AV16" s="47"/>
      <c r="AW16" s="48"/>
      <c r="AX16" s="39">
        <f>AX15+July[[#This Row],[Income]]-July[[#This Row],[Expenses]]</f>
        <v>1121</v>
      </c>
      <c r="AY16" s="69"/>
      <c r="AZ16" s="69"/>
      <c r="BA16" s="69"/>
      <c r="BB16" s="37">
        <v>43687</v>
      </c>
      <c r="BC16" s="47"/>
      <c r="BD16" s="48"/>
      <c r="BE16" s="39">
        <f>BE15+Aug[[#This Row],[Income]]-Aug[[#This Row],[Expenses]]</f>
        <v>1121</v>
      </c>
      <c r="BF16" s="69"/>
      <c r="BG16" s="69"/>
      <c r="BH16" s="69"/>
      <c r="BI16" s="37">
        <v>43718</v>
      </c>
      <c r="BJ16" s="47"/>
      <c r="BK16" s="48"/>
      <c r="BL16" s="39">
        <f>BL15+September[[#This Row],[Income]]-September[[#This Row],[Expenses]]</f>
        <v>1121</v>
      </c>
      <c r="BM16" s="69"/>
      <c r="BN16" s="69"/>
      <c r="BO16" s="69"/>
      <c r="BP16" s="37">
        <v>43748</v>
      </c>
      <c r="BQ16" s="47"/>
      <c r="BR16" s="48"/>
      <c r="BS16" s="39">
        <f>BS15+October[[#This Row],[Income]]-October[[#This Row],[Expenses]]</f>
        <v>1121</v>
      </c>
      <c r="BT16" s="69"/>
      <c r="BU16" s="69"/>
      <c r="BV16" s="69"/>
      <c r="BW16" s="37">
        <v>43779</v>
      </c>
      <c r="BX16" s="47"/>
      <c r="BY16" s="48"/>
      <c r="BZ16" s="39">
        <f>BZ15+November[[#This Row],[Income]]-November[[#This Row],[Expenses]]</f>
        <v>1121</v>
      </c>
      <c r="CA16" s="69"/>
      <c r="CB16" s="69"/>
      <c r="CC16" s="69"/>
      <c r="CD16" s="37">
        <v>43809</v>
      </c>
      <c r="CE16" s="47"/>
      <c r="CF16" s="48"/>
      <c r="CG16" s="39">
        <f>CG15+December[[#This Row],[Income]]-December[[#This Row],[Expenses]]</f>
        <v>1121</v>
      </c>
      <c r="CH16" s="69"/>
      <c r="CI16" s="69"/>
      <c r="CJ16" s="78"/>
    </row>
    <row r="17" spans="2:88" ht="15" customHeight="1" x14ac:dyDescent="0.25">
      <c r="B17" s="283"/>
      <c r="C17" s="284"/>
      <c r="D17" s="69"/>
      <c r="E17" s="6">
        <v>43476</v>
      </c>
      <c r="F17" s="47">
        <f>Financing!E12</f>
        <v>121</v>
      </c>
      <c r="G17" s="48"/>
      <c r="H17" s="17">
        <f>H16+January[[#This Row],[Income]]-January[[#This Row],[Expenses]]</f>
        <v>1121</v>
      </c>
      <c r="I17" s="69"/>
      <c r="J17" s="69"/>
      <c r="K17" s="69"/>
      <c r="L17" s="37">
        <v>43507</v>
      </c>
      <c r="M17" s="47"/>
      <c r="N17" s="48"/>
      <c r="O17" s="39">
        <f>O16+February[[#This Row],[Income]]-February[[#This Row],[Expenses]]</f>
        <v>1121</v>
      </c>
      <c r="P17" s="69"/>
      <c r="Q17" s="69"/>
      <c r="R17" s="69"/>
      <c r="S17" s="37">
        <v>43535</v>
      </c>
      <c r="T17" s="47"/>
      <c r="U17" s="48"/>
      <c r="V17" s="39">
        <f>V16+March[[#This Row],[Income]]-March[[#This Row],[Expenses]]</f>
        <v>1121</v>
      </c>
      <c r="W17" s="69"/>
      <c r="X17" s="69"/>
      <c r="Y17" s="69"/>
      <c r="Z17" s="37">
        <v>43566</v>
      </c>
      <c r="AA17" s="47"/>
      <c r="AB17" s="48"/>
      <c r="AC17" s="39">
        <f>AC16+April[[#This Row],[Income]]-April[[#This Row],[Expenses]]</f>
        <v>1121</v>
      </c>
      <c r="AD17" s="69"/>
      <c r="AE17" s="69"/>
      <c r="AF17" s="69"/>
      <c r="AG17" s="37">
        <v>43596</v>
      </c>
      <c r="AH17" s="47"/>
      <c r="AI17" s="48"/>
      <c r="AJ17" s="39">
        <f>AJ16+May[[#This Row],[Income]]-May[[#This Row],[Expenses]]</f>
        <v>1121</v>
      </c>
      <c r="AK17" s="69"/>
      <c r="AL17" s="69"/>
      <c r="AM17" s="69"/>
      <c r="AN17" s="37">
        <v>43627</v>
      </c>
      <c r="AO17" s="47"/>
      <c r="AP17" s="48"/>
      <c r="AQ17" s="39">
        <f>AQ16+June[[#This Row],[Income]]-June[[#This Row],[Expenses]]</f>
        <v>1121</v>
      </c>
      <c r="AR17" s="69"/>
      <c r="AS17" s="69"/>
      <c r="AT17" s="69"/>
      <c r="AU17" s="37">
        <v>43657</v>
      </c>
      <c r="AV17" s="47"/>
      <c r="AW17" s="48"/>
      <c r="AX17" s="39">
        <f>AX16+July[[#This Row],[Income]]-July[[#This Row],[Expenses]]</f>
        <v>1121</v>
      </c>
      <c r="AY17" s="69"/>
      <c r="AZ17" s="69"/>
      <c r="BA17" s="69"/>
      <c r="BB17" s="37">
        <v>43688</v>
      </c>
      <c r="BC17" s="47"/>
      <c r="BD17" s="48"/>
      <c r="BE17" s="39">
        <f>BE16+Aug[[#This Row],[Income]]-Aug[[#This Row],[Expenses]]</f>
        <v>1121</v>
      </c>
      <c r="BF17" s="69"/>
      <c r="BG17" s="69"/>
      <c r="BH17" s="69"/>
      <c r="BI17" s="37">
        <v>43719</v>
      </c>
      <c r="BJ17" s="47"/>
      <c r="BK17" s="48"/>
      <c r="BL17" s="39">
        <f>BL16+September[[#This Row],[Income]]-September[[#This Row],[Expenses]]</f>
        <v>1121</v>
      </c>
      <c r="BM17" s="69"/>
      <c r="BN17" s="69"/>
      <c r="BO17" s="69"/>
      <c r="BP17" s="37">
        <v>43749</v>
      </c>
      <c r="BQ17" s="47"/>
      <c r="BR17" s="48"/>
      <c r="BS17" s="39">
        <f>BS16+October[[#This Row],[Income]]-October[[#This Row],[Expenses]]</f>
        <v>1121</v>
      </c>
      <c r="BT17" s="69"/>
      <c r="BU17" s="69"/>
      <c r="BV17" s="69"/>
      <c r="BW17" s="37">
        <v>43780</v>
      </c>
      <c r="BX17" s="47"/>
      <c r="BY17" s="48"/>
      <c r="BZ17" s="39">
        <f>BZ16+November[[#This Row],[Income]]-November[[#This Row],[Expenses]]</f>
        <v>1121</v>
      </c>
      <c r="CA17" s="69"/>
      <c r="CB17" s="69"/>
      <c r="CC17" s="69"/>
      <c r="CD17" s="37">
        <v>43810</v>
      </c>
      <c r="CE17" s="47"/>
      <c r="CF17" s="48"/>
      <c r="CG17" s="39">
        <f>CG16+December[[#This Row],[Income]]-December[[#This Row],[Expenses]]</f>
        <v>1121</v>
      </c>
      <c r="CH17" s="69"/>
      <c r="CI17" s="69"/>
      <c r="CJ17" s="78"/>
    </row>
    <row r="18" spans="2:88" ht="15" customHeight="1" thickBot="1" x14ac:dyDescent="0.3">
      <c r="B18" s="285"/>
      <c r="C18" s="286"/>
      <c r="D18" s="69"/>
      <c r="E18" s="6">
        <v>43477</v>
      </c>
      <c r="F18" s="47"/>
      <c r="G18" s="48"/>
      <c r="H18" s="17">
        <f>H17+January[[#This Row],[Income]]-January[[#This Row],[Expenses]]</f>
        <v>1121</v>
      </c>
      <c r="I18" s="69"/>
      <c r="J18" s="69"/>
      <c r="K18" s="69"/>
      <c r="L18" s="37">
        <v>43508</v>
      </c>
      <c r="M18" s="47"/>
      <c r="N18" s="48"/>
      <c r="O18" s="39">
        <f>O17+February[[#This Row],[Income]]-February[[#This Row],[Expenses]]</f>
        <v>1121</v>
      </c>
      <c r="P18" s="69"/>
      <c r="Q18" s="69"/>
      <c r="R18" s="69"/>
      <c r="S18" s="37">
        <v>43536</v>
      </c>
      <c r="T18" s="47"/>
      <c r="U18" s="48"/>
      <c r="V18" s="39">
        <f>V17+March[[#This Row],[Income]]-March[[#This Row],[Expenses]]</f>
        <v>1121</v>
      </c>
      <c r="W18" s="69"/>
      <c r="X18" s="69"/>
      <c r="Y18" s="69"/>
      <c r="Z18" s="37">
        <v>43567</v>
      </c>
      <c r="AA18" s="47"/>
      <c r="AB18" s="48"/>
      <c r="AC18" s="39">
        <f>AC17+April[[#This Row],[Income]]-April[[#This Row],[Expenses]]</f>
        <v>1121</v>
      </c>
      <c r="AD18" s="69"/>
      <c r="AE18" s="69"/>
      <c r="AF18" s="69"/>
      <c r="AG18" s="37">
        <v>43597</v>
      </c>
      <c r="AH18" s="47"/>
      <c r="AI18" s="48"/>
      <c r="AJ18" s="39">
        <f>AJ17+May[[#This Row],[Income]]-May[[#This Row],[Expenses]]</f>
        <v>1121</v>
      </c>
      <c r="AK18" s="69"/>
      <c r="AL18" s="69"/>
      <c r="AM18" s="69"/>
      <c r="AN18" s="37">
        <v>43628</v>
      </c>
      <c r="AO18" s="47"/>
      <c r="AP18" s="48"/>
      <c r="AQ18" s="39">
        <f>AQ17+June[[#This Row],[Income]]-June[[#This Row],[Expenses]]</f>
        <v>1121</v>
      </c>
      <c r="AR18" s="69"/>
      <c r="AS18" s="69"/>
      <c r="AT18" s="69"/>
      <c r="AU18" s="37">
        <v>43658</v>
      </c>
      <c r="AV18" s="47"/>
      <c r="AW18" s="48"/>
      <c r="AX18" s="39">
        <f>AX17+July[[#This Row],[Income]]-July[[#This Row],[Expenses]]</f>
        <v>1121</v>
      </c>
      <c r="AY18" s="69"/>
      <c r="AZ18" s="69"/>
      <c r="BA18" s="69"/>
      <c r="BB18" s="37">
        <v>43689</v>
      </c>
      <c r="BC18" s="47"/>
      <c r="BD18" s="48"/>
      <c r="BE18" s="39">
        <f>BE17+Aug[[#This Row],[Income]]-Aug[[#This Row],[Expenses]]</f>
        <v>1121</v>
      </c>
      <c r="BF18" s="69"/>
      <c r="BG18" s="69"/>
      <c r="BH18" s="69"/>
      <c r="BI18" s="37">
        <v>43720</v>
      </c>
      <c r="BJ18" s="47"/>
      <c r="BK18" s="48"/>
      <c r="BL18" s="39">
        <f>BL17+September[[#This Row],[Income]]-September[[#This Row],[Expenses]]</f>
        <v>1121</v>
      </c>
      <c r="BM18" s="69"/>
      <c r="BN18" s="69"/>
      <c r="BO18" s="69"/>
      <c r="BP18" s="37">
        <v>43750</v>
      </c>
      <c r="BQ18" s="47"/>
      <c r="BR18" s="48"/>
      <c r="BS18" s="39">
        <f>BS17+October[[#This Row],[Income]]-October[[#This Row],[Expenses]]</f>
        <v>1121</v>
      </c>
      <c r="BT18" s="69"/>
      <c r="BU18" s="69"/>
      <c r="BV18" s="69"/>
      <c r="BW18" s="37">
        <v>43781</v>
      </c>
      <c r="BX18" s="47"/>
      <c r="BY18" s="48"/>
      <c r="BZ18" s="39">
        <f>BZ17+November[[#This Row],[Income]]-November[[#This Row],[Expenses]]</f>
        <v>1121</v>
      </c>
      <c r="CA18" s="69"/>
      <c r="CB18" s="69"/>
      <c r="CC18" s="69"/>
      <c r="CD18" s="37">
        <v>43811</v>
      </c>
      <c r="CE18" s="47"/>
      <c r="CF18" s="48"/>
      <c r="CG18" s="39">
        <f>CG17+December[[#This Row],[Income]]-December[[#This Row],[Expenses]]</f>
        <v>1121</v>
      </c>
      <c r="CH18" s="69"/>
      <c r="CI18" s="69"/>
      <c r="CJ18" s="78"/>
    </row>
    <row r="19" spans="2:88" x14ac:dyDescent="0.25">
      <c r="B19" s="283" t="s">
        <v>121</v>
      </c>
      <c r="C19" s="284"/>
      <c r="D19" s="69"/>
      <c r="E19" s="6">
        <v>43478</v>
      </c>
      <c r="F19" s="47"/>
      <c r="G19" s="48"/>
      <c r="H19" s="17">
        <f>H18+January[[#This Row],[Income]]-January[[#This Row],[Expenses]]</f>
        <v>1121</v>
      </c>
      <c r="I19" s="69"/>
      <c r="J19" s="69"/>
      <c r="K19" s="69"/>
      <c r="L19" s="37">
        <v>43509</v>
      </c>
      <c r="M19" s="47"/>
      <c r="N19" s="48"/>
      <c r="O19" s="39">
        <f>O18+February[[#This Row],[Income]]-February[[#This Row],[Expenses]]</f>
        <v>1121</v>
      </c>
      <c r="P19" s="69"/>
      <c r="Q19" s="69"/>
      <c r="R19" s="69"/>
      <c r="S19" s="37">
        <v>43537</v>
      </c>
      <c r="T19" s="47"/>
      <c r="U19" s="48"/>
      <c r="V19" s="39">
        <f>V18+March[[#This Row],[Income]]-March[[#This Row],[Expenses]]</f>
        <v>1121</v>
      </c>
      <c r="W19" s="69"/>
      <c r="X19" s="69"/>
      <c r="Y19" s="69"/>
      <c r="Z19" s="37">
        <v>43568</v>
      </c>
      <c r="AA19" s="47"/>
      <c r="AB19" s="48"/>
      <c r="AC19" s="39">
        <f>AC18+April[[#This Row],[Income]]-April[[#This Row],[Expenses]]</f>
        <v>1121</v>
      </c>
      <c r="AD19" s="69"/>
      <c r="AE19" s="69"/>
      <c r="AF19" s="69"/>
      <c r="AG19" s="37">
        <v>43598</v>
      </c>
      <c r="AH19" s="47"/>
      <c r="AI19" s="48"/>
      <c r="AJ19" s="39">
        <f>AJ18+May[[#This Row],[Income]]-May[[#This Row],[Expenses]]</f>
        <v>1121</v>
      </c>
      <c r="AK19" s="69"/>
      <c r="AL19" s="69"/>
      <c r="AM19" s="69"/>
      <c r="AN19" s="37">
        <v>43629</v>
      </c>
      <c r="AO19" s="47"/>
      <c r="AP19" s="48"/>
      <c r="AQ19" s="39">
        <f>AQ18+June[[#This Row],[Income]]-June[[#This Row],[Expenses]]</f>
        <v>1121</v>
      </c>
      <c r="AR19" s="69"/>
      <c r="AS19" s="69"/>
      <c r="AT19" s="69"/>
      <c r="AU19" s="37">
        <v>43659</v>
      </c>
      <c r="AV19" s="47"/>
      <c r="AW19" s="48"/>
      <c r="AX19" s="39">
        <f>AX18+July[[#This Row],[Income]]-July[[#This Row],[Expenses]]</f>
        <v>1121</v>
      </c>
      <c r="AY19" s="69"/>
      <c r="AZ19" s="69"/>
      <c r="BA19" s="69"/>
      <c r="BB19" s="37">
        <v>43690</v>
      </c>
      <c r="BC19" s="47"/>
      <c r="BD19" s="48"/>
      <c r="BE19" s="39">
        <f>BE18+Aug[[#This Row],[Income]]-Aug[[#This Row],[Expenses]]</f>
        <v>1121</v>
      </c>
      <c r="BF19" s="69"/>
      <c r="BG19" s="69"/>
      <c r="BH19" s="69"/>
      <c r="BI19" s="37">
        <v>43721</v>
      </c>
      <c r="BJ19" s="47"/>
      <c r="BK19" s="48"/>
      <c r="BL19" s="39">
        <f>BL18+September[[#This Row],[Income]]-September[[#This Row],[Expenses]]</f>
        <v>1121</v>
      </c>
      <c r="BM19" s="69"/>
      <c r="BN19" s="69"/>
      <c r="BO19" s="69"/>
      <c r="BP19" s="37">
        <v>43751</v>
      </c>
      <c r="BQ19" s="47"/>
      <c r="BR19" s="48"/>
      <c r="BS19" s="39">
        <f>BS18+October[[#This Row],[Income]]-October[[#This Row],[Expenses]]</f>
        <v>1121</v>
      </c>
      <c r="BT19" s="69"/>
      <c r="BU19" s="69"/>
      <c r="BV19" s="69"/>
      <c r="BW19" s="37">
        <v>43782</v>
      </c>
      <c r="BX19" s="47"/>
      <c r="BY19" s="48"/>
      <c r="BZ19" s="39">
        <f>BZ18+November[[#This Row],[Income]]-November[[#This Row],[Expenses]]</f>
        <v>1121</v>
      </c>
      <c r="CA19" s="69"/>
      <c r="CB19" s="69"/>
      <c r="CC19" s="69"/>
      <c r="CD19" s="37">
        <v>43812</v>
      </c>
      <c r="CE19" s="47"/>
      <c r="CF19" s="48"/>
      <c r="CG19" s="39">
        <f>CG18+December[[#This Row],[Income]]-December[[#This Row],[Expenses]]</f>
        <v>1121</v>
      </c>
      <c r="CH19" s="69"/>
      <c r="CI19" s="69"/>
      <c r="CJ19" s="78"/>
    </row>
    <row r="20" spans="2:88" x14ac:dyDescent="0.25">
      <c r="B20" s="283"/>
      <c r="C20" s="284"/>
      <c r="D20" s="69"/>
      <c r="E20" s="6">
        <v>43479</v>
      </c>
      <c r="F20" s="47"/>
      <c r="G20" s="48"/>
      <c r="H20" s="17">
        <f>H19+January[[#This Row],[Income]]-January[[#This Row],[Expenses]]</f>
        <v>1121</v>
      </c>
      <c r="I20" s="69"/>
      <c r="J20" s="69"/>
      <c r="K20" s="69"/>
      <c r="L20" s="37">
        <v>43510</v>
      </c>
      <c r="M20" s="47"/>
      <c r="N20" s="48"/>
      <c r="O20" s="39">
        <f>O19+February[[#This Row],[Income]]-February[[#This Row],[Expenses]]</f>
        <v>1121</v>
      </c>
      <c r="P20" s="69"/>
      <c r="Q20" s="69"/>
      <c r="R20" s="69"/>
      <c r="S20" s="37">
        <v>43538</v>
      </c>
      <c r="T20" s="47"/>
      <c r="U20" s="48"/>
      <c r="V20" s="39">
        <f>V19+March[[#This Row],[Income]]-March[[#This Row],[Expenses]]</f>
        <v>1121</v>
      </c>
      <c r="W20" s="69"/>
      <c r="X20" s="69"/>
      <c r="Y20" s="69"/>
      <c r="Z20" s="37">
        <v>43569</v>
      </c>
      <c r="AA20" s="47"/>
      <c r="AB20" s="48"/>
      <c r="AC20" s="39">
        <f>AC19+April[[#This Row],[Income]]-April[[#This Row],[Expenses]]</f>
        <v>1121</v>
      </c>
      <c r="AD20" s="69"/>
      <c r="AE20" s="69"/>
      <c r="AF20" s="69"/>
      <c r="AG20" s="37">
        <v>43599</v>
      </c>
      <c r="AH20" s="47"/>
      <c r="AI20" s="48"/>
      <c r="AJ20" s="39">
        <f>AJ19+May[[#This Row],[Income]]-May[[#This Row],[Expenses]]</f>
        <v>1121</v>
      </c>
      <c r="AK20" s="69"/>
      <c r="AL20" s="69"/>
      <c r="AM20" s="69"/>
      <c r="AN20" s="37">
        <v>43630</v>
      </c>
      <c r="AO20" s="47"/>
      <c r="AP20" s="48"/>
      <c r="AQ20" s="39">
        <f>AQ19+June[[#This Row],[Income]]-June[[#This Row],[Expenses]]</f>
        <v>1121</v>
      </c>
      <c r="AR20" s="69"/>
      <c r="AS20" s="69"/>
      <c r="AT20" s="69"/>
      <c r="AU20" s="37">
        <v>43660</v>
      </c>
      <c r="AV20" s="47"/>
      <c r="AW20" s="48"/>
      <c r="AX20" s="39">
        <f>AX19+July[[#This Row],[Income]]-July[[#This Row],[Expenses]]</f>
        <v>1121</v>
      </c>
      <c r="AY20" s="69"/>
      <c r="AZ20" s="69"/>
      <c r="BA20" s="69"/>
      <c r="BB20" s="37">
        <v>43691</v>
      </c>
      <c r="BC20" s="47"/>
      <c r="BD20" s="48"/>
      <c r="BE20" s="39">
        <f>BE19+Aug[[#This Row],[Income]]-Aug[[#This Row],[Expenses]]</f>
        <v>1121</v>
      </c>
      <c r="BF20" s="69"/>
      <c r="BG20" s="69"/>
      <c r="BH20" s="69"/>
      <c r="BI20" s="37">
        <v>43722</v>
      </c>
      <c r="BJ20" s="47"/>
      <c r="BK20" s="48"/>
      <c r="BL20" s="39">
        <f>BL19+September[[#This Row],[Income]]-September[[#This Row],[Expenses]]</f>
        <v>1121</v>
      </c>
      <c r="BM20" s="69"/>
      <c r="BN20" s="69"/>
      <c r="BO20" s="69"/>
      <c r="BP20" s="37">
        <v>43752</v>
      </c>
      <c r="BQ20" s="47"/>
      <c r="BR20" s="48"/>
      <c r="BS20" s="39">
        <f>BS19+October[[#This Row],[Income]]-October[[#This Row],[Expenses]]</f>
        <v>1121</v>
      </c>
      <c r="BT20" s="69"/>
      <c r="BU20" s="69"/>
      <c r="BV20" s="69"/>
      <c r="BW20" s="37">
        <v>43783</v>
      </c>
      <c r="BX20" s="47"/>
      <c r="BY20" s="48"/>
      <c r="BZ20" s="39">
        <f>BZ19+November[[#This Row],[Income]]-November[[#This Row],[Expenses]]</f>
        <v>1121</v>
      </c>
      <c r="CA20" s="69"/>
      <c r="CB20" s="69"/>
      <c r="CC20" s="69"/>
      <c r="CD20" s="37">
        <v>43813</v>
      </c>
      <c r="CE20" s="47"/>
      <c r="CF20" s="48"/>
      <c r="CG20" s="39">
        <f>CG19+December[[#This Row],[Income]]-December[[#This Row],[Expenses]]</f>
        <v>1121</v>
      </c>
      <c r="CH20" s="69"/>
      <c r="CI20" s="69"/>
      <c r="CJ20" s="78"/>
    </row>
    <row r="21" spans="2:88" x14ac:dyDescent="0.25">
      <c r="B21" s="283"/>
      <c r="C21" s="284"/>
      <c r="D21" s="69"/>
      <c r="E21" s="6">
        <v>43480</v>
      </c>
      <c r="F21" s="47"/>
      <c r="G21" s="48"/>
      <c r="H21" s="17">
        <f>H20+January[[#This Row],[Income]]-January[[#This Row],[Expenses]]</f>
        <v>1121</v>
      </c>
      <c r="I21" s="69"/>
      <c r="J21" s="69"/>
      <c r="K21" s="69"/>
      <c r="L21" s="37">
        <v>43511</v>
      </c>
      <c r="M21" s="47"/>
      <c r="N21" s="48"/>
      <c r="O21" s="39">
        <f>O20+February[[#This Row],[Income]]-February[[#This Row],[Expenses]]</f>
        <v>1121</v>
      </c>
      <c r="P21" s="69"/>
      <c r="Q21" s="69"/>
      <c r="R21" s="69"/>
      <c r="S21" s="37">
        <v>43539</v>
      </c>
      <c r="T21" s="47"/>
      <c r="U21" s="48"/>
      <c r="V21" s="39">
        <f>V20+March[[#This Row],[Income]]-March[[#This Row],[Expenses]]</f>
        <v>1121</v>
      </c>
      <c r="W21" s="69"/>
      <c r="X21" s="69"/>
      <c r="Y21" s="69"/>
      <c r="Z21" s="37">
        <v>43570</v>
      </c>
      <c r="AA21" s="47"/>
      <c r="AB21" s="48"/>
      <c r="AC21" s="39">
        <f>AC20+April[[#This Row],[Income]]-April[[#This Row],[Expenses]]</f>
        <v>1121</v>
      </c>
      <c r="AD21" s="69"/>
      <c r="AE21" s="69"/>
      <c r="AF21" s="69"/>
      <c r="AG21" s="37">
        <v>43600</v>
      </c>
      <c r="AH21" s="47"/>
      <c r="AI21" s="48"/>
      <c r="AJ21" s="39">
        <f>AJ20+May[[#This Row],[Income]]-May[[#This Row],[Expenses]]</f>
        <v>1121</v>
      </c>
      <c r="AK21" s="69"/>
      <c r="AL21" s="69"/>
      <c r="AM21" s="69"/>
      <c r="AN21" s="37">
        <v>43631</v>
      </c>
      <c r="AO21" s="47"/>
      <c r="AP21" s="48"/>
      <c r="AQ21" s="39">
        <f>AQ20+June[[#This Row],[Income]]-June[[#This Row],[Expenses]]</f>
        <v>1121</v>
      </c>
      <c r="AR21" s="69"/>
      <c r="AS21" s="69"/>
      <c r="AT21" s="69"/>
      <c r="AU21" s="37">
        <v>43661</v>
      </c>
      <c r="AV21" s="47"/>
      <c r="AW21" s="48"/>
      <c r="AX21" s="39">
        <f>AX20+July[[#This Row],[Income]]-July[[#This Row],[Expenses]]</f>
        <v>1121</v>
      </c>
      <c r="AY21" s="69"/>
      <c r="AZ21" s="69"/>
      <c r="BA21" s="69"/>
      <c r="BB21" s="37">
        <v>43692</v>
      </c>
      <c r="BC21" s="47"/>
      <c r="BD21" s="48"/>
      <c r="BE21" s="39">
        <f>BE20+Aug[[#This Row],[Income]]-Aug[[#This Row],[Expenses]]</f>
        <v>1121</v>
      </c>
      <c r="BF21" s="69"/>
      <c r="BG21" s="69"/>
      <c r="BH21" s="69"/>
      <c r="BI21" s="37">
        <v>43723</v>
      </c>
      <c r="BJ21" s="47"/>
      <c r="BK21" s="48"/>
      <c r="BL21" s="39">
        <f>BL20+September[[#This Row],[Income]]-September[[#This Row],[Expenses]]</f>
        <v>1121</v>
      </c>
      <c r="BM21" s="69"/>
      <c r="BN21" s="69"/>
      <c r="BO21" s="69"/>
      <c r="BP21" s="37">
        <v>43753</v>
      </c>
      <c r="BQ21" s="47"/>
      <c r="BR21" s="48"/>
      <c r="BS21" s="39">
        <f>BS20+October[[#This Row],[Income]]-October[[#This Row],[Expenses]]</f>
        <v>1121</v>
      </c>
      <c r="BT21" s="69"/>
      <c r="BU21" s="69"/>
      <c r="BV21" s="69"/>
      <c r="BW21" s="37">
        <v>43784</v>
      </c>
      <c r="BX21" s="47"/>
      <c r="BY21" s="48"/>
      <c r="BZ21" s="39">
        <f>BZ20+November[[#This Row],[Income]]-November[[#This Row],[Expenses]]</f>
        <v>1121</v>
      </c>
      <c r="CA21" s="69"/>
      <c r="CB21" s="69"/>
      <c r="CC21" s="69"/>
      <c r="CD21" s="37">
        <v>43814</v>
      </c>
      <c r="CE21" s="47"/>
      <c r="CF21" s="48"/>
      <c r="CG21" s="39">
        <f>CG20+December[[#This Row],[Income]]-December[[#This Row],[Expenses]]</f>
        <v>1121</v>
      </c>
      <c r="CH21" s="69"/>
      <c r="CI21" s="69"/>
      <c r="CJ21" s="78"/>
    </row>
    <row r="22" spans="2:88" x14ac:dyDescent="0.25">
      <c r="B22" s="283"/>
      <c r="C22" s="284"/>
      <c r="D22" s="69"/>
      <c r="E22" s="6">
        <v>43481</v>
      </c>
      <c r="F22" s="47"/>
      <c r="G22" s="48"/>
      <c r="H22" s="17">
        <f>H21+January[[#This Row],[Income]]-January[[#This Row],[Expenses]]</f>
        <v>1121</v>
      </c>
      <c r="I22" s="69"/>
      <c r="J22" s="69"/>
      <c r="K22" s="69"/>
      <c r="L22" s="37">
        <v>43512</v>
      </c>
      <c r="M22" s="47"/>
      <c r="N22" s="48"/>
      <c r="O22" s="39">
        <f>O21+February[[#This Row],[Income]]-February[[#This Row],[Expenses]]</f>
        <v>1121</v>
      </c>
      <c r="P22" s="69"/>
      <c r="Q22" s="69"/>
      <c r="R22" s="69"/>
      <c r="S22" s="37">
        <v>43540</v>
      </c>
      <c r="T22" s="47"/>
      <c r="U22" s="48"/>
      <c r="V22" s="39">
        <f>V21+March[[#This Row],[Income]]-March[[#This Row],[Expenses]]</f>
        <v>1121</v>
      </c>
      <c r="W22" s="69"/>
      <c r="X22" s="69"/>
      <c r="Y22" s="69"/>
      <c r="Z22" s="37">
        <v>43571</v>
      </c>
      <c r="AA22" s="47"/>
      <c r="AB22" s="48"/>
      <c r="AC22" s="39">
        <f>AC21+April[[#This Row],[Income]]-April[[#This Row],[Expenses]]</f>
        <v>1121</v>
      </c>
      <c r="AD22" s="69"/>
      <c r="AE22" s="69"/>
      <c r="AF22" s="69"/>
      <c r="AG22" s="37">
        <v>43601</v>
      </c>
      <c r="AH22" s="47"/>
      <c r="AI22" s="48"/>
      <c r="AJ22" s="39">
        <f>AJ21+May[[#This Row],[Income]]-May[[#This Row],[Expenses]]</f>
        <v>1121</v>
      </c>
      <c r="AK22" s="69"/>
      <c r="AL22" s="69"/>
      <c r="AM22" s="69"/>
      <c r="AN22" s="37">
        <v>43632</v>
      </c>
      <c r="AO22" s="47"/>
      <c r="AP22" s="48"/>
      <c r="AQ22" s="39">
        <f>AQ21+June[[#This Row],[Income]]-June[[#This Row],[Expenses]]</f>
        <v>1121</v>
      </c>
      <c r="AR22" s="69"/>
      <c r="AS22" s="69"/>
      <c r="AT22" s="69"/>
      <c r="AU22" s="37">
        <v>43662</v>
      </c>
      <c r="AV22" s="47"/>
      <c r="AW22" s="48"/>
      <c r="AX22" s="39">
        <f>AX21+July[[#This Row],[Income]]-July[[#This Row],[Expenses]]</f>
        <v>1121</v>
      </c>
      <c r="AY22" s="69"/>
      <c r="AZ22" s="69"/>
      <c r="BA22" s="69"/>
      <c r="BB22" s="37">
        <v>43693</v>
      </c>
      <c r="BC22" s="47"/>
      <c r="BD22" s="48"/>
      <c r="BE22" s="39">
        <f>BE21+Aug[[#This Row],[Income]]-Aug[[#This Row],[Expenses]]</f>
        <v>1121</v>
      </c>
      <c r="BF22" s="69"/>
      <c r="BG22" s="69"/>
      <c r="BH22" s="69"/>
      <c r="BI22" s="37">
        <v>43724</v>
      </c>
      <c r="BJ22" s="47"/>
      <c r="BK22" s="48"/>
      <c r="BL22" s="39">
        <f>BL21+September[[#This Row],[Income]]-September[[#This Row],[Expenses]]</f>
        <v>1121</v>
      </c>
      <c r="BM22" s="69"/>
      <c r="BN22" s="69"/>
      <c r="BO22" s="69"/>
      <c r="BP22" s="37">
        <v>43754</v>
      </c>
      <c r="BQ22" s="47"/>
      <c r="BR22" s="48"/>
      <c r="BS22" s="39">
        <f>BS21+October[[#This Row],[Income]]-October[[#This Row],[Expenses]]</f>
        <v>1121</v>
      </c>
      <c r="BT22" s="69"/>
      <c r="BU22" s="69"/>
      <c r="BV22" s="69"/>
      <c r="BW22" s="37">
        <v>43785</v>
      </c>
      <c r="BX22" s="47"/>
      <c r="BY22" s="48"/>
      <c r="BZ22" s="39">
        <f>BZ21+November[[#This Row],[Income]]-November[[#This Row],[Expenses]]</f>
        <v>1121</v>
      </c>
      <c r="CA22" s="69"/>
      <c r="CB22" s="69"/>
      <c r="CC22" s="69"/>
      <c r="CD22" s="37">
        <v>43815</v>
      </c>
      <c r="CE22" s="47"/>
      <c r="CF22" s="48"/>
      <c r="CG22" s="39">
        <f>CG21+December[[#This Row],[Income]]-December[[#This Row],[Expenses]]</f>
        <v>1121</v>
      </c>
      <c r="CH22" s="69"/>
      <c r="CI22" s="69"/>
      <c r="CJ22" s="78"/>
    </row>
    <row r="23" spans="2:88" ht="15.75" thickBot="1" x14ac:dyDescent="0.3">
      <c r="B23" s="285"/>
      <c r="C23" s="286"/>
      <c r="D23" s="69"/>
      <c r="E23" s="6">
        <v>43482</v>
      </c>
      <c r="F23" s="47"/>
      <c r="G23" s="48"/>
      <c r="H23" s="17">
        <f>H22+January[[#This Row],[Income]]-January[[#This Row],[Expenses]]</f>
        <v>1121</v>
      </c>
      <c r="I23" s="69"/>
      <c r="J23" s="69"/>
      <c r="K23" s="69"/>
      <c r="L23" s="37">
        <v>43513</v>
      </c>
      <c r="M23" s="47"/>
      <c r="N23" s="48"/>
      <c r="O23" s="39">
        <f>O22+February[[#This Row],[Income]]-February[[#This Row],[Expenses]]</f>
        <v>1121</v>
      </c>
      <c r="P23" s="69"/>
      <c r="Q23" s="69"/>
      <c r="R23" s="69"/>
      <c r="S23" s="37">
        <v>43541</v>
      </c>
      <c r="T23" s="47"/>
      <c r="U23" s="48"/>
      <c r="V23" s="39">
        <f>V22+March[[#This Row],[Income]]-March[[#This Row],[Expenses]]</f>
        <v>1121</v>
      </c>
      <c r="W23" s="69"/>
      <c r="X23" s="69"/>
      <c r="Y23" s="69"/>
      <c r="Z23" s="37">
        <v>43572</v>
      </c>
      <c r="AA23" s="47"/>
      <c r="AB23" s="48"/>
      <c r="AC23" s="39">
        <f>AC22+April[[#This Row],[Income]]-April[[#This Row],[Expenses]]</f>
        <v>1121</v>
      </c>
      <c r="AD23" s="69"/>
      <c r="AE23" s="69"/>
      <c r="AF23" s="69"/>
      <c r="AG23" s="37">
        <v>43602</v>
      </c>
      <c r="AH23" s="47"/>
      <c r="AI23" s="48"/>
      <c r="AJ23" s="39">
        <f>AJ22+May[[#This Row],[Income]]-May[[#This Row],[Expenses]]</f>
        <v>1121</v>
      </c>
      <c r="AK23" s="69"/>
      <c r="AL23" s="69"/>
      <c r="AM23" s="69"/>
      <c r="AN23" s="37">
        <v>43633</v>
      </c>
      <c r="AO23" s="47"/>
      <c r="AP23" s="48"/>
      <c r="AQ23" s="39">
        <f>AQ22+June[[#This Row],[Income]]-June[[#This Row],[Expenses]]</f>
        <v>1121</v>
      </c>
      <c r="AR23" s="69"/>
      <c r="AS23" s="69"/>
      <c r="AT23" s="69"/>
      <c r="AU23" s="37">
        <v>43663</v>
      </c>
      <c r="AV23" s="47"/>
      <c r="AW23" s="48"/>
      <c r="AX23" s="39">
        <f>AX22+July[[#This Row],[Income]]-July[[#This Row],[Expenses]]</f>
        <v>1121</v>
      </c>
      <c r="AY23" s="69"/>
      <c r="AZ23" s="69"/>
      <c r="BA23" s="69"/>
      <c r="BB23" s="37">
        <v>43694</v>
      </c>
      <c r="BC23" s="47"/>
      <c r="BD23" s="48"/>
      <c r="BE23" s="39">
        <f>BE22+Aug[[#This Row],[Income]]-Aug[[#This Row],[Expenses]]</f>
        <v>1121</v>
      </c>
      <c r="BF23" s="69"/>
      <c r="BG23" s="69"/>
      <c r="BH23" s="69"/>
      <c r="BI23" s="37">
        <v>43725</v>
      </c>
      <c r="BJ23" s="47"/>
      <c r="BK23" s="48"/>
      <c r="BL23" s="39">
        <f>BL22+September[[#This Row],[Income]]-September[[#This Row],[Expenses]]</f>
        <v>1121</v>
      </c>
      <c r="BM23" s="69"/>
      <c r="BN23" s="69"/>
      <c r="BO23" s="69"/>
      <c r="BP23" s="37">
        <v>43755</v>
      </c>
      <c r="BQ23" s="47"/>
      <c r="BR23" s="48"/>
      <c r="BS23" s="39">
        <f>BS22+October[[#This Row],[Income]]-October[[#This Row],[Expenses]]</f>
        <v>1121</v>
      </c>
      <c r="BT23" s="69"/>
      <c r="BU23" s="69"/>
      <c r="BV23" s="69"/>
      <c r="BW23" s="37">
        <v>43786</v>
      </c>
      <c r="BX23" s="47"/>
      <c r="BY23" s="48"/>
      <c r="BZ23" s="39">
        <f>BZ22+November[[#This Row],[Income]]-November[[#This Row],[Expenses]]</f>
        <v>1121</v>
      </c>
      <c r="CA23" s="69"/>
      <c r="CB23" s="69"/>
      <c r="CC23" s="69"/>
      <c r="CD23" s="37">
        <v>43816</v>
      </c>
      <c r="CE23" s="47"/>
      <c r="CF23" s="48"/>
      <c r="CG23" s="39">
        <f>CG22+December[[#This Row],[Income]]-December[[#This Row],[Expenses]]</f>
        <v>1121</v>
      </c>
      <c r="CH23" s="69"/>
      <c r="CI23" s="69"/>
      <c r="CJ23" s="78"/>
    </row>
    <row r="24" spans="2:88" ht="15" customHeight="1" x14ac:dyDescent="0.25">
      <c r="B24" s="140" t="s">
        <v>107</v>
      </c>
      <c r="C24" s="141"/>
      <c r="D24" s="69"/>
      <c r="E24" s="6">
        <v>43483</v>
      </c>
      <c r="F24" s="47"/>
      <c r="G24" s="48"/>
      <c r="H24" s="17">
        <f>H23+January[[#This Row],[Income]]-January[[#This Row],[Expenses]]</f>
        <v>1121</v>
      </c>
      <c r="I24" s="69"/>
      <c r="J24" s="69"/>
      <c r="K24" s="69"/>
      <c r="L24" s="37">
        <v>43514</v>
      </c>
      <c r="M24" s="47"/>
      <c r="N24" s="48"/>
      <c r="O24" s="39">
        <f>O23+February[[#This Row],[Income]]-February[[#This Row],[Expenses]]</f>
        <v>1121</v>
      </c>
      <c r="P24" s="69"/>
      <c r="Q24" s="69"/>
      <c r="R24" s="69"/>
      <c r="S24" s="37">
        <v>43542</v>
      </c>
      <c r="T24" s="47"/>
      <c r="U24" s="48"/>
      <c r="V24" s="39">
        <f>V23+March[[#This Row],[Income]]-March[[#This Row],[Expenses]]</f>
        <v>1121</v>
      </c>
      <c r="W24" s="69"/>
      <c r="X24" s="69"/>
      <c r="Y24" s="69"/>
      <c r="Z24" s="37">
        <v>43573</v>
      </c>
      <c r="AA24" s="47"/>
      <c r="AB24" s="48"/>
      <c r="AC24" s="39">
        <f>AC23+April[[#This Row],[Income]]-April[[#This Row],[Expenses]]</f>
        <v>1121</v>
      </c>
      <c r="AD24" s="69"/>
      <c r="AE24" s="69"/>
      <c r="AF24" s="69"/>
      <c r="AG24" s="37">
        <v>43603</v>
      </c>
      <c r="AH24" s="47"/>
      <c r="AI24" s="48"/>
      <c r="AJ24" s="39">
        <f>AJ23+May[[#This Row],[Income]]-May[[#This Row],[Expenses]]</f>
        <v>1121</v>
      </c>
      <c r="AK24" s="69"/>
      <c r="AL24" s="69"/>
      <c r="AM24" s="69"/>
      <c r="AN24" s="37">
        <v>43634</v>
      </c>
      <c r="AO24" s="47"/>
      <c r="AP24" s="48"/>
      <c r="AQ24" s="39">
        <f>AQ23+June[[#This Row],[Income]]-June[[#This Row],[Expenses]]</f>
        <v>1121</v>
      </c>
      <c r="AR24" s="69"/>
      <c r="AS24" s="69"/>
      <c r="AT24" s="69"/>
      <c r="AU24" s="37">
        <v>43664</v>
      </c>
      <c r="AV24" s="47"/>
      <c r="AW24" s="48"/>
      <c r="AX24" s="39">
        <f>AX23+July[[#This Row],[Income]]-July[[#This Row],[Expenses]]</f>
        <v>1121</v>
      </c>
      <c r="AY24" s="69"/>
      <c r="AZ24" s="69"/>
      <c r="BA24" s="69"/>
      <c r="BB24" s="37">
        <v>43695</v>
      </c>
      <c r="BC24" s="47"/>
      <c r="BD24" s="48"/>
      <c r="BE24" s="39">
        <f>BE23+Aug[[#This Row],[Income]]-Aug[[#This Row],[Expenses]]</f>
        <v>1121</v>
      </c>
      <c r="BF24" s="69"/>
      <c r="BG24" s="69"/>
      <c r="BH24" s="69"/>
      <c r="BI24" s="37">
        <v>43726</v>
      </c>
      <c r="BJ24" s="47"/>
      <c r="BK24" s="48"/>
      <c r="BL24" s="39">
        <f>BL23+September[[#This Row],[Income]]-September[[#This Row],[Expenses]]</f>
        <v>1121</v>
      </c>
      <c r="BM24" s="69"/>
      <c r="BN24" s="69"/>
      <c r="BO24" s="69"/>
      <c r="BP24" s="37">
        <v>43756</v>
      </c>
      <c r="BQ24" s="47"/>
      <c r="BR24" s="48"/>
      <c r="BS24" s="39">
        <f>BS23+October[[#This Row],[Income]]-October[[#This Row],[Expenses]]</f>
        <v>1121</v>
      </c>
      <c r="BT24" s="69"/>
      <c r="BU24" s="69"/>
      <c r="BV24" s="69"/>
      <c r="BW24" s="37">
        <v>43787</v>
      </c>
      <c r="BX24" s="47"/>
      <c r="BY24" s="48"/>
      <c r="BZ24" s="39">
        <f>BZ23+November[[#This Row],[Income]]-November[[#This Row],[Expenses]]</f>
        <v>1121</v>
      </c>
      <c r="CA24" s="69"/>
      <c r="CB24" s="69"/>
      <c r="CC24" s="69"/>
      <c r="CD24" s="37">
        <v>43817</v>
      </c>
      <c r="CE24" s="47"/>
      <c r="CF24" s="48"/>
      <c r="CG24" s="39">
        <f>CG23+December[[#This Row],[Income]]-December[[#This Row],[Expenses]]</f>
        <v>1121</v>
      </c>
      <c r="CH24" s="69"/>
      <c r="CI24" s="69"/>
      <c r="CJ24" s="78"/>
    </row>
    <row r="25" spans="2:88" x14ac:dyDescent="0.25">
      <c r="B25" s="142"/>
      <c r="C25" s="143"/>
      <c r="D25" s="69"/>
      <c r="E25" s="6">
        <v>43484</v>
      </c>
      <c r="F25" s="47"/>
      <c r="G25" s="48"/>
      <c r="H25" s="17">
        <f>H24+January[[#This Row],[Income]]-January[[#This Row],[Expenses]]</f>
        <v>1121</v>
      </c>
      <c r="I25" s="69"/>
      <c r="J25" s="69"/>
      <c r="K25" s="69"/>
      <c r="L25" s="37">
        <v>43515</v>
      </c>
      <c r="M25" s="47"/>
      <c r="N25" s="48"/>
      <c r="O25" s="39">
        <f>O24+February[[#This Row],[Income]]-February[[#This Row],[Expenses]]</f>
        <v>1121</v>
      </c>
      <c r="P25" s="69"/>
      <c r="Q25" s="69"/>
      <c r="R25" s="69"/>
      <c r="S25" s="37">
        <v>43543</v>
      </c>
      <c r="T25" s="47"/>
      <c r="U25" s="48"/>
      <c r="V25" s="39">
        <f>V24+March[[#This Row],[Income]]-March[[#This Row],[Expenses]]</f>
        <v>1121</v>
      </c>
      <c r="W25" s="69"/>
      <c r="X25" s="69"/>
      <c r="Y25" s="69"/>
      <c r="Z25" s="37">
        <v>43574</v>
      </c>
      <c r="AA25" s="47"/>
      <c r="AB25" s="48"/>
      <c r="AC25" s="39">
        <f>AC24+April[[#This Row],[Income]]-April[[#This Row],[Expenses]]</f>
        <v>1121</v>
      </c>
      <c r="AD25" s="69"/>
      <c r="AE25" s="69"/>
      <c r="AF25" s="69"/>
      <c r="AG25" s="37">
        <v>43604</v>
      </c>
      <c r="AH25" s="47"/>
      <c r="AI25" s="48"/>
      <c r="AJ25" s="39">
        <f>AJ24+May[[#This Row],[Income]]-May[[#This Row],[Expenses]]</f>
        <v>1121</v>
      </c>
      <c r="AK25" s="69"/>
      <c r="AL25" s="69"/>
      <c r="AM25" s="69"/>
      <c r="AN25" s="37">
        <v>43635</v>
      </c>
      <c r="AO25" s="47"/>
      <c r="AP25" s="48"/>
      <c r="AQ25" s="39">
        <f>AQ24+June[[#This Row],[Income]]-June[[#This Row],[Expenses]]</f>
        <v>1121</v>
      </c>
      <c r="AR25" s="69"/>
      <c r="AS25" s="69"/>
      <c r="AT25" s="69"/>
      <c r="AU25" s="37">
        <v>43665</v>
      </c>
      <c r="AV25" s="47"/>
      <c r="AW25" s="48"/>
      <c r="AX25" s="39">
        <f>AX24+July[[#This Row],[Income]]-July[[#This Row],[Expenses]]</f>
        <v>1121</v>
      </c>
      <c r="AY25" s="69"/>
      <c r="AZ25" s="69"/>
      <c r="BA25" s="69"/>
      <c r="BB25" s="37">
        <v>43696</v>
      </c>
      <c r="BC25" s="47"/>
      <c r="BD25" s="48"/>
      <c r="BE25" s="39">
        <f>BE24+Aug[[#This Row],[Income]]-Aug[[#This Row],[Expenses]]</f>
        <v>1121</v>
      </c>
      <c r="BF25" s="69"/>
      <c r="BG25" s="69"/>
      <c r="BH25" s="69"/>
      <c r="BI25" s="37">
        <v>43727</v>
      </c>
      <c r="BJ25" s="47"/>
      <c r="BK25" s="48"/>
      <c r="BL25" s="39">
        <f>BL24+September[[#This Row],[Income]]-September[[#This Row],[Expenses]]</f>
        <v>1121</v>
      </c>
      <c r="BM25" s="69"/>
      <c r="BN25" s="69"/>
      <c r="BO25" s="69"/>
      <c r="BP25" s="37">
        <v>43757</v>
      </c>
      <c r="BQ25" s="47"/>
      <c r="BR25" s="48"/>
      <c r="BS25" s="39">
        <f>BS24+October[[#This Row],[Income]]-October[[#This Row],[Expenses]]</f>
        <v>1121</v>
      </c>
      <c r="BT25" s="69"/>
      <c r="BU25" s="69"/>
      <c r="BV25" s="69"/>
      <c r="BW25" s="37">
        <v>43788</v>
      </c>
      <c r="BX25" s="47"/>
      <c r="BY25" s="48"/>
      <c r="BZ25" s="39">
        <f>BZ24+November[[#This Row],[Income]]-November[[#This Row],[Expenses]]</f>
        <v>1121</v>
      </c>
      <c r="CA25" s="69"/>
      <c r="CB25" s="69"/>
      <c r="CC25" s="69"/>
      <c r="CD25" s="37">
        <v>43818</v>
      </c>
      <c r="CE25" s="47"/>
      <c r="CF25" s="48"/>
      <c r="CG25" s="39">
        <f>CG24+December[[#This Row],[Income]]-December[[#This Row],[Expenses]]</f>
        <v>1121</v>
      </c>
      <c r="CH25" s="69"/>
      <c r="CI25" s="69"/>
      <c r="CJ25" s="78"/>
    </row>
    <row r="26" spans="2:88" ht="15.75" thickBot="1" x14ac:dyDescent="0.3">
      <c r="B26" s="144"/>
      <c r="C26" s="145"/>
      <c r="D26" s="69"/>
      <c r="E26" s="6">
        <v>43485</v>
      </c>
      <c r="F26" s="47"/>
      <c r="G26" s="49"/>
      <c r="H26" s="17">
        <f>H25+January[[#This Row],[Income]]-January[[#This Row],[Expenses]]</f>
        <v>1121</v>
      </c>
      <c r="I26" s="69"/>
      <c r="J26" s="69"/>
      <c r="K26" s="69"/>
      <c r="L26" s="37">
        <v>43516</v>
      </c>
      <c r="M26" s="47"/>
      <c r="N26" s="49"/>
      <c r="O26" s="39">
        <f>O25+February[[#This Row],[Income]]-February[[#This Row],[Expenses]]</f>
        <v>1121</v>
      </c>
      <c r="P26" s="69"/>
      <c r="Q26" s="69"/>
      <c r="R26" s="69"/>
      <c r="S26" s="37">
        <v>43544</v>
      </c>
      <c r="T26" s="47"/>
      <c r="U26" s="49"/>
      <c r="V26" s="39">
        <f>V25+March[[#This Row],[Income]]-March[[#This Row],[Expenses]]</f>
        <v>1121</v>
      </c>
      <c r="W26" s="69"/>
      <c r="X26" s="69"/>
      <c r="Y26" s="69"/>
      <c r="Z26" s="37">
        <v>43575</v>
      </c>
      <c r="AA26" s="47"/>
      <c r="AB26" s="49"/>
      <c r="AC26" s="39">
        <f>AC25+April[[#This Row],[Income]]-April[[#This Row],[Expenses]]</f>
        <v>1121</v>
      </c>
      <c r="AD26" s="69"/>
      <c r="AE26" s="69"/>
      <c r="AF26" s="69"/>
      <c r="AG26" s="37">
        <v>43605</v>
      </c>
      <c r="AH26" s="47"/>
      <c r="AI26" s="49"/>
      <c r="AJ26" s="39">
        <f>AJ25+May[[#This Row],[Income]]-May[[#This Row],[Expenses]]</f>
        <v>1121</v>
      </c>
      <c r="AK26" s="69"/>
      <c r="AL26" s="69"/>
      <c r="AM26" s="69"/>
      <c r="AN26" s="37">
        <v>43636</v>
      </c>
      <c r="AO26" s="47"/>
      <c r="AP26" s="49"/>
      <c r="AQ26" s="39">
        <f>AQ25+June[[#This Row],[Income]]-June[[#This Row],[Expenses]]</f>
        <v>1121</v>
      </c>
      <c r="AR26" s="69"/>
      <c r="AS26" s="69"/>
      <c r="AT26" s="69"/>
      <c r="AU26" s="37">
        <v>43666</v>
      </c>
      <c r="AV26" s="47"/>
      <c r="AW26" s="49"/>
      <c r="AX26" s="39">
        <f>AX25+July[[#This Row],[Income]]-July[[#This Row],[Expenses]]</f>
        <v>1121</v>
      </c>
      <c r="AY26" s="69"/>
      <c r="AZ26" s="69"/>
      <c r="BA26" s="69"/>
      <c r="BB26" s="37">
        <v>43697</v>
      </c>
      <c r="BC26" s="47"/>
      <c r="BD26" s="49"/>
      <c r="BE26" s="39">
        <f>BE25+Aug[[#This Row],[Income]]-Aug[[#This Row],[Expenses]]</f>
        <v>1121</v>
      </c>
      <c r="BF26" s="69"/>
      <c r="BG26" s="69"/>
      <c r="BH26" s="69"/>
      <c r="BI26" s="37">
        <v>43728</v>
      </c>
      <c r="BJ26" s="47"/>
      <c r="BK26" s="49"/>
      <c r="BL26" s="39">
        <f>BL25+September[[#This Row],[Income]]-September[[#This Row],[Expenses]]</f>
        <v>1121</v>
      </c>
      <c r="BM26" s="69"/>
      <c r="BN26" s="69"/>
      <c r="BO26" s="69"/>
      <c r="BP26" s="37">
        <v>43758</v>
      </c>
      <c r="BQ26" s="47"/>
      <c r="BR26" s="49"/>
      <c r="BS26" s="39">
        <f>BS25+October[[#This Row],[Income]]-October[[#This Row],[Expenses]]</f>
        <v>1121</v>
      </c>
      <c r="BT26" s="69"/>
      <c r="BU26" s="69"/>
      <c r="BV26" s="69"/>
      <c r="BW26" s="37">
        <v>43789</v>
      </c>
      <c r="BX26" s="47"/>
      <c r="BY26" s="49"/>
      <c r="BZ26" s="39">
        <f>BZ25+November[[#This Row],[Income]]-November[[#This Row],[Expenses]]</f>
        <v>1121</v>
      </c>
      <c r="CA26" s="69"/>
      <c r="CB26" s="69"/>
      <c r="CC26" s="69"/>
      <c r="CD26" s="37">
        <v>43819</v>
      </c>
      <c r="CE26" s="47"/>
      <c r="CF26" s="49"/>
      <c r="CG26" s="39">
        <f>CG25+December[[#This Row],[Income]]-December[[#This Row],[Expenses]]</f>
        <v>1121</v>
      </c>
      <c r="CH26" s="69"/>
      <c r="CI26" s="69"/>
      <c r="CJ26" s="78"/>
    </row>
    <row r="27" spans="2:88" ht="15.75" thickBot="1" x14ac:dyDescent="0.3">
      <c r="B27" s="138"/>
      <c r="C27" s="139"/>
      <c r="D27" s="69"/>
      <c r="E27" s="6">
        <v>43486</v>
      </c>
      <c r="F27" s="47"/>
      <c r="G27" s="48"/>
      <c r="H27" s="17">
        <f>H26+January[[#This Row],[Income]]-January[[#This Row],[Expenses]]</f>
        <v>1121</v>
      </c>
      <c r="I27" s="69"/>
      <c r="J27" s="69"/>
      <c r="K27" s="69"/>
      <c r="L27" s="37">
        <v>43517</v>
      </c>
      <c r="M27" s="47"/>
      <c r="N27" s="48"/>
      <c r="O27" s="39">
        <f>O26+February[[#This Row],[Income]]-February[[#This Row],[Expenses]]</f>
        <v>1121</v>
      </c>
      <c r="P27" s="69"/>
      <c r="Q27" s="69"/>
      <c r="R27" s="69"/>
      <c r="S27" s="37">
        <v>43545</v>
      </c>
      <c r="T27" s="47"/>
      <c r="U27" s="48"/>
      <c r="V27" s="39">
        <f>V26+March[[#This Row],[Income]]-March[[#This Row],[Expenses]]</f>
        <v>1121</v>
      </c>
      <c r="W27" s="69"/>
      <c r="X27" s="69"/>
      <c r="Y27" s="69"/>
      <c r="Z27" s="37">
        <v>43576</v>
      </c>
      <c r="AA27" s="47"/>
      <c r="AB27" s="48"/>
      <c r="AC27" s="39">
        <f>AC26+April[[#This Row],[Income]]-April[[#This Row],[Expenses]]</f>
        <v>1121</v>
      </c>
      <c r="AD27" s="69"/>
      <c r="AE27" s="69"/>
      <c r="AF27" s="69"/>
      <c r="AG27" s="37">
        <v>43606</v>
      </c>
      <c r="AH27" s="47"/>
      <c r="AI27" s="48"/>
      <c r="AJ27" s="39">
        <f>AJ26+May[[#This Row],[Income]]-May[[#This Row],[Expenses]]</f>
        <v>1121</v>
      </c>
      <c r="AK27" s="69"/>
      <c r="AL27" s="69"/>
      <c r="AM27" s="69"/>
      <c r="AN27" s="37">
        <v>43637</v>
      </c>
      <c r="AO27" s="47"/>
      <c r="AP27" s="48"/>
      <c r="AQ27" s="39">
        <f>AQ26+June[[#This Row],[Income]]-June[[#This Row],[Expenses]]</f>
        <v>1121</v>
      </c>
      <c r="AR27" s="69"/>
      <c r="AS27" s="69"/>
      <c r="AT27" s="69"/>
      <c r="AU27" s="37">
        <v>43667</v>
      </c>
      <c r="AV27" s="47"/>
      <c r="AW27" s="48"/>
      <c r="AX27" s="39">
        <f>AX26+July[[#This Row],[Income]]-July[[#This Row],[Expenses]]</f>
        <v>1121</v>
      </c>
      <c r="AY27" s="69"/>
      <c r="AZ27" s="69"/>
      <c r="BA27" s="69"/>
      <c r="BB27" s="37">
        <v>43698</v>
      </c>
      <c r="BC27" s="47"/>
      <c r="BD27" s="48"/>
      <c r="BE27" s="39">
        <f>BE26+Aug[[#This Row],[Income]]-Aug[[#This Row],[Expenses]]</f>
        <v>1121</v>
      </c>
      <c r="BF27" s="69"/>
      <c r="BG27" s="69"/>
      <c r="BH27" s="69"/>
      <c r="BI27" s="37">
        <v>43729</v>
      </c>
      <c r="BJ27" s="47"/>
      <c r="BK27" s="48"/>
      <c r="BL27" s="39">
        <f>BL26+September[[#This Row],[Income]]-September[[#This Row],[Expenses]]</f>
        <v>1121</v>
      </c>
      <c r="BM27" s="69"/>
      <c r="BN27" s="69"/>
      <c r="BO27" s="69"/>
      <c r="BP27" s="37">
        <v>43759</v>
      </c>
      <c r="BQ27" s="47"/>
      <c r="BR27" s="48"/>
      <c r="BS27" s="39">
        <f>BS26+October[[#This Row],[Income]]-October[[#This Row],[Expenses]]</f>
        <v>1121</v>
      </c>
      <c r="BT27" s="69"/>
      <c r="BU27" s="69"/>
      <c r="BV27" s="69"/>
      <c r="BW27" s="37">
        <v>43790</v>
      </c>
      <c r="BX27" s="47"/>
      <c r="BY27" s="48"/>
      <c r="BZ27" s="39">
        <f>BZ26+November[[#This Row],[Income]]-November[[#This Row],[Expenses]]</f>
        <v>1121</v>
      </c>
      <c r="CA27" s="69"/>
      <c r="CB27" s="69"/>
      <c r="CC27" s="69"/>
      <c r="CD27" s="37">
        <v>43820</v>
      </c>
      <c r="CE27" s="47"/>
      <c r="CF27" s="48"/>
      <c r="CG27" s="39">
        <f>CG26+December[[#This Row],[Income]]-December[[#This Row],[Expenses]]</f>
        <v>1121</v>
      </c>
      <c r="CH27" s="69"/>
      <c r="CI27" s="69"/>
      <c r="CJ27" s="78"/>
    </row>
    <row r="28" spans="2:88" x14ac:dyDescent="0.25">
      <c r="B28" s="271" t="s">
        <v>116</v>
      </c>
      <c r="C28" s="272"/>
      <c r="D28" s="69"/>
      <c r="E28" s="6">
        <v>43487</v>
      </c>
      <c r="F28" s="47"/>
      <c r="G28" s="49"/>
      <c r="H28" s="17">
        <f>H27+January[[#This Row],[Income]]-January[[#This Row],[Expenses]]</f>
        <v>1121</v>
      </c>
      <c r="I28" s="69"/>
      <c r="J28" s="69"/>
      <c r="K28" s="69"/>
      <c r="L28" s="37">
        <v>43518</v>
      </c>
      <c r="M28" s="47"/>
      <c r="N28" s="49"/>
      <c r="O28" s="39">
        <f>O27+February[[#This Row],[Income]]-February[[#This Row],[Expenses]]</f>
        <v>1121</v>
      </c>
      <c r="P28" s="69"/>
      <c r="Q28" s="69"/>
      <c r="R28" s="69"/>
      <c r="S28" s="37">
        <v>43546</v>
      </c>
      <c r="T28" s="47"/>
      <c r="U28" s="49"/>
      <c r="V28" s="39">
        <f>V27+March[[#This Row],[Income]]-March[[#This Row],[Expenses]]</f>
        <v>1121</v>
      </c>
      <c r="W28" s="69"/>
      <c r="X28" s="69"/>
      <c r="Y28" s="69"/>
      <c r="Z28" s="37">
        <v>43577</v>
      </c>
      <c r="AA28" s="47"/>
      <c r="AB28" s="49"/>
      <c r="AC28" s="39">
        <f>AC27+April[[#This Row],[Income]]-April[[#This Row],[Expenses]]</f>
        <v>1121</v>
      </c>
      <c r="AD28" s="69"/>
      <c r="AE28" s="69"/>
      <c r="AF28" s="69"/>
      <c r="AG28" s="37">
        <v>43607</v>
      </c>
      <c r="AH28" s="47"/>
      <c r="AI28" s="49"/>
      <c r="AJ28" s="39">
        <f>AJ27+May[[#This Row],[Income]]-May[[#This Row],[Expenses]]</f>
        <v>1121</v>
      </c>
      <c r="AK28" s="69"/>
      <c r="AL28" s="69"/>
      <c r="AM28" s="69"/>
      <c r="AN28" s="37">
        <v>43638</v>
      </c>
      <c r="AO28" s="47"/>
      <c r="AP28" s="49"/>
      <c r="AQ28" s="39">
        <f>AQ27+June[[#This Row],[Income]]-June[[#This Row],[Expenses]]</f>
        <v>1121</v>
      </c>
      <c r="AR28" s="69"/>
      <c r="AS28" s="69"/>
      <c r="AT28" s="69"/>
      <c r="AU28" s="37">
        <v>43668</v>
      </c>
      <c r="AV28" s="47"/>
      <c r="AW28" s="49"/>
      <c r="AX28" s="39">
        <f>AX27+July[[#This Row],[Income]]-July[[#This Row],[Expenses]]</f>
        <v>1121</v>
      </c>
      <c r="AY28" s="69"/>
      <c r="AZ28" s="69"/>
      <c r="BA28" s="69"/>
      <c r="BB28" s="37">
        <v>43699</v>
      </c>
      <c r="BC28" s="47"/>
      <c r="BD28" s="49"/>
      <c r="BE28" s="39">
        <f>BE27+Aug[[#This Row],[Income]]-Aug[[#This Row],[Expenses]]</f>
        <v>1121</v>
      </c>
      <c r="BF28" s="69"/>
      <c r="BG28" s="69"/>
      <c r="BH28" s="69"/>
      <c r="BI28" s="37">
        <v>43730</v>
      </c>
      <c r="BJ28" s="47"/>
      <c r="BK28" s="49"/>
      <c r="BL28" s="39">
        <f>BL27+September[[#This Row],[Income]]-September[[#This Row],[Expenses]]</f>
        <v>1121</v>
      </c>
      <c r="BM28" s="69"/>
      <c r="BN28" s="69"/>
      <c r="BO28" s="69"/>
      <c r="BP28" s="37">
        <v>43760</v>
      </c>
      <c r="BQ28" s="47"/>
      <c r="BR28" s="49"/>
      <c r="BS28" s="39">
        <f>BS27+October[[#This Row],[Income]]-October[[#This Row],[Expenses]]</f>
        <v>1121</v>
      </c>
      <c r="BT28" s="69"/>
      <c r="BU28" s="69"/>
      <c r="BV28" s="69"/>
      <c r="BW28" s="37">
        <v>43791</v>
      </c>
      <c r="BX28" s="47"/>
      <c r="BY28" s="49"/>
      <c r="BZ28" s="39">
        <f>BZ27+November[[#This Row],[Income]]-November[[#This Row],[Expenses]]</f>
        <v>1121</v>
      </c>
      <c r="CA28" s="69"/>
      <c r="CB28" s="69"/>
      <c r="CC28" s="69"/>
      <c r="CD28" s="37">
        <v>43821</v>
      </c>
      <c r="CE28" s="47"/>
      <c r="CF28" s="49"/>
      <c r="CG28" s="39">
        <f>CG27+December[[#This Row],[Income]]-December[[#This Row],[Expenses]]</f>
        <v>1121</v>
      </c>
      <c r="CH28" s="69"/>
      <c r="CI28" s="69"/>
      <c r="CJ28" s="78"/>
    </row>
    <row r="29" spans="2:88" x14ac:dyDescent="0.25">
      <c r="B29" s="273"/>
      <c r="C29" s="274"/>
      <c r="D29" s="69"/>
      <c r="E29" s="6">
        <v>43488</v>
      </c>
      <c r="F29" s="47"/>
      <c r="G29" s="49"/>
      <c r="H29" s="17">
        <f>H28+January[[#This Row],[Income]]-January[[#This Row],[Expenses]]</f>
        <v>1121</v>
      </c>
      <c r="I29" s="69"/>
      <c r="J29" s="69"/>
      <c r="K29" s="69"/>
      <c r="L29" s="37">
        <v>43519</v>
      </c>
      <c r="M29" s="47"/>
      <c r="N29" s="49"/>
      <c r="O29" s="39">
        <f>O28+February[[#This Row],[Income]]-February[[#This Row],[Expenses]]</f>
        <v>1121</v>
      </c>
      <c r="P29" s="69"/>
      <c r="Q29" s="69"/>
      <c r="R29" s="69"/>
      <c r="S29" s="37">
        <v>43547</v>
      </c>
      <c r="T29" s="47"/>
      <c r="U29" s="49"/>
      <c r="V29" s="39">
        <f>V28+March[[#This Row],[Income]]-March[[#This Row],[Expenses]]</f>
        <v>1121</v>
      </c>
      <c r="W29" s="69"/>
      <c r="X29" s="69"/>
      <c r="Y29" s="69"/>
      <c r="Z29" s="37">
        <v>43578</v>
      </c>
      <c r="AA29" s="47"/>
      <c r="AB29" s="49"/>
      <c r="AC29" s="39">
        <f>AC28+April[[#This Row],[Income]]-April[[#This Row],[Expenses]]</f>
        <v>1121</v>
      </c>
      <c r="AD29" s="69"/>
      <c r="AE29" s="69"/>
      <c r="AF29" s="69"/>
      <c r="AG29" s="37">
        <v>43608</v>
      </c>
      <c r="AH29" s="47"/>
      <c r="AI29" s="49"/>
      <c r="AJ29" s="39">
        <f>AJ28+May[[#This Row],[Income]]-May[[#This Row],[Expenses]]</f>
        <v>1121</v>
      </c>
      <c r="AK29" s="69"/>
      <c r="AL29" s="69"/>
      <c r="AM29" s="69"/>
      <c r="AN29" s="37">
        <v>43639</v>
      </c>
      <c r="AO29" s="47"/>
      <c r="AP29" s="49"/>
      <c r="AQ29" s="39">
        <f>AQ28+June[[#This Row],[Income]]-June[[#This Row],[Expenses]]</f>
        <v>1121</v>
      </c>
      <c r="AR29" s="69"/>
      <c r="AS29" s="69"/>
      <c r="AT29" s="69"/>
      <c r="AU29" s="37">
        <v>43669</v>
      </c>
      <c r="AV29" s="47"/>
      <c r="AW29" s="49"/>
      <c r="AX29" s="39">
        <f>AX28+July[[#This Row],[Income]]-July[[#This Row],[Expenses]]</f>
        <v>1121</v>
      </c>
      <c r="AY29" s="69"/>
      <c r="AZ29" s="69"/>
      <c r="BA29" s="69"/>
      <c r="BB29" s="37">
        <v>43700</v>
      </c>
      <c r="BC29" s="47"/>
      <c r="BD29" s="49"/>
      <c r="BE29" s="39">
        <f>BE28+Aug[[#This Row],[Income]]-Aug[[#This Row],[Expenses]]</f>
        <v>1121</v>
      </c>
      <c r="BF29" s="69"/>
      <c r="BG29" s="69"/>
      <c r="BH29" s="69"/>
      <c r="BI29" s="37">
        <v>43731</v>
      </c>
      <c r="BJ29" s="47"/>
      <c r="BK29" s="49"/>
      <c r="BL29" s="39">
        <f>BL28+September[[#This Row],[Income]]-September[[#This Row],[Expenses]]</f>
        <v>1121</v>
      </c>
      <c r="BM29" s="69"/>
      <c r="BN29" s="69"/>
      <c r="BO29" s="69"/>
      <c r="BP29" s="37">
        <v>43761</v>
      </c>
      <c r="BQ29" s="47"/>
      <c r="BR29" s="49"/>
      <c r="BS29" s="39">
        <f>BS28+October[[#This Row],[Income]]-October[[#This Row],[Expenses]]</f>
        <v>1121</v>
      </c>
      <c r="BT29" s="69"/>
      <c r="BU29" s="69"/>
      <c r="BV29" s="69"/>
      <c r="BW29" s="37">
        <v>43792</v>
      </c>
      <c r="BX29" s="47"/>
      <c r="BY29" s="49"/>
      <c r="BZ29" s="39">
        <f>BZ28+November[[#This Row],[Income]]-November[[#This Row],[Expenses]]</f>
        <v>1121</v>
      </c>
      <c r="CA29" s="69"/>
      <c r="CB29" s="69"/>
      <c r="CC29" s="69"/>
      <c r="CD29" s="37">
        <v>43822</v>
      </c>
      <c r="CE29" s="47"/>
      <c r="CF29" s="49"/>
      <c r="CG29" s="39">
        <f>CG28+December[[#This Row],[Income]]-December[[#This Row],[Expenses]]</f>
        <v>1121</v>
      </c>
      <c r="CH29" s="69"/>
      <c r="CI29" s="69"/>
      <c r="CJ29" s="78"/>
    </row>
    <row r="30" spans="2:88" ht="15.75" thickBot="1" x14ac:dyDescent="0.3">
      <c r="B30" s="275"/>
      <c r="C30" s="276"/>
      <c r="D30" s="69"/>
      <c r="E30" s="6">
        <v>43489</v>
      </c>
      <c r="F30" s="47"/>
      <c r="G30" s="49"/>
      <c r="H30" s="17">
        <f>H29+January[[#This Row],[Income]]-January[[#This Row],[Expenses]]</f>
        <v>1121</v>
      </c>
      <c r="I30" s="69"/>
      <c r="J30" s="69"/>
      <c r="K30" s="69"/>
      <c r="L30" s="37">
        <v>43520</v>
      </c>
      <c r="M30" s="47"/>
      <c r="N30" s="49"/>
      <c r="O30" s="39">
        <f>O29+February[[#This Row],[Income]]-February[[#This Row],[Expenses]]</f>
        <v>1121</v>
      </c>
      <c r="P30" s="69"/>
      <c r="Q30" s="69"/>
      <c r="R30" s="69"/>
      <c r="S30" s="37">
        <v>43548</v>
      </c>
      <c r="T30" s="47"/>
      <c r="U30" s="49"/>
      <c r="V30" s="39">
        <f>V29+March[[#This Row],[Income]]-March[[#This Row],[Expenses]]</f>
        <v>1121</v>
      </c>
      <c r="W30" s="69"/>
      <c r="X30" s="69"/>
      <c r="Y30" s="69"/>
      <c r="Z30" s="37">
        <v>43579</v>
      </c>
      <c r="AA30" s="47"/>
      <c r="AB30" s="49"/>
      <c r="AC30" s="39">
        <f>AC29+April[[#This Row],[Income]]-April[[#This Row],[Expenses]]</f>
        <v>1121</v>
      </c>
      <c r="AD30" s="69"/>
      <c r="AE30" s="69"/>
      <c r="AF30" s="69"/>
      <c r="AG30" s="37">
        <v>43609</v>
      </c>
      <c r="AH30" s="47"/>
      <c r="AI30" s="49"/>
      <c r="AJ30" s="39">
        <f>AJ29+May[[#This Row],[Income]]-May[[#This Row],[Expenses]]</f>
        <v>1121</v>
      </c>
      <c r="AK30" s="69"/>
      <c r="AL30" s="69"/>
      <c r="AM30" s="69"/>
      <c r="AN30" s="37">
        <v>43640</v>
      </c>
      <c r="AO30" s="47"/>
      <c r="AP30" s="49"/>
      <c r="AQ30" s="39">
        <f>AQ29+June[[#This Row],[Income]]-June[[#This Row],[Expenses]]</f>
        <v>1121</v>
      </c>
      <c r="AR30" s="69"/>
      <c r="AS30" s="69"/>
      <c r="AT30" s="69"/>
      <c r="AU30" s="37">
        <v>43670</v>
      </c>
      <c r="AV30" s="47"/>
      <c r="AW30" s="49"/>
      <c r="AX30" s="39">
        <f>AX29+July[[#This Row],[Income]]-July[[#This Row],[Expenses]]</f>
        <v>1121</v>
      </c>
      <c r="AY30" s="69"/>
      <c r="AZ30" s="69"/>
      <c r="BA30" s="69"/>
      <c r="BB30" s="37">
        <v>43701</v>
      </c>
      <c r="BC30" s="47"/>
      <c r="BD30" s="49"/>
      <c r="BE30" s="39">
        <f>BE29+Aug[[#This Row],[Income]]-Aug[[#This Row],[Expenses]]</f>
        <v>1121</v>
      </c>
      <c r="BF30" s="69"/>
      <c r="BG30" s="69"/>
      <c r="BH30" s="69"/>
      <c r="BI30" s="37">
        <v>43732</v>
      </c>
      <c r="BJ30" s="47"/>
      <c r="BK30" s="49"/>
      <c r="BL30" s="39">
        <f>BL29+September[[#This Row],[Income]]-September[[#This Row],[Expenses]]</f>
        <v>1121</v>
      </c>
      <c r="BM30" s="69"/>
      <c r="BN30" s="69"/>
      <c r="BO30" s="69"/>
      <c r="BP30" s="37">
        <v>43762</v>
      </c>
      <c r="BQ30" s="47"/>
      <c r="BR30" s="49"/>
      <c r="BS30" s="39">
        <f>BS29+October[[#This Row],[Income]]-October[[#This Row],[Expenses]]</f>
        <v>1121</v>
      </c>
      <c r="BT30" s="69"/>
      <c r="BU30" s="69"/>
      <c r="BV30" s="69"/>
      <c r="BW30" s="37">
        <v>43793</v>
      </c>
      <c r="BX30" s="47"/>
      <c r="BY30" s="49"/>
      <c r="BZ30" s="39">
        <f>BZ29+November[[#This Row],[Income]]-November[[#This Row],[Expenses]]</f>
        <v>1121</v>
      </c>
      <c r="CA30" s="69"/>
      <c r="CB30" s="69"/>
      <c r="CC30" s="69"/>
      <c r="CD30" s="37">
        <v>43823</v>
      </c>
      <c r="CE30" s="47"/>
      <c r="CF30" s="49"/>
      <c r="CG30" s="39">
        <f>CG29+December[[#This Row],[Income]]-December[[#This Row],[Expenses]]</f>
        <v>1121</v>
      </c>
      <c r="CH30" s="69"/>
      <c r="CI30" s="69"/>
      <c r="CJ30" s="78"/>
    </row>
    <row r="31" spans="2:88" ht="15" customHeight="1" thickTop="1" x14ac:dyDescent="0.25">
      <c r="B31" s="149" t="s">
        <v>117</v>
      </c>
      <c r="C31" s="150"/>
      <c r="D31" s="69"/>
      <c r="E31" s="6">
        <v>43490</v>
      </c>
      <c r="F31" s="47"/>
      <c r="G31" s="49"/>
      <c r="H31" s="17">
        <f>H30+January[[#This Row],[Income]]-January[[#This Row],[Expenses]]</f>
        <v>1121</v>
      </c>
      <c r="I31" s="69"/>
      <c r="J31" s="69"/>
      <c r="K31" s="69"/>
      <c r="L31" s="37">
        <v>43521</v>
      </c>
      <c r="M31" s="47"/>
      <c r="N31" s="49"/>
      <c r="O31" s="39">
        <f>O30+February[[#This Row],[Income]]-February[[#This Row],[Expenses]]</f>
        <v>1121</v>
      </c>
      <c r="P31" s="69"/>
      <c r="Q31" s="69"/>
      <c r="R31" s="69"/>
      <c r="S31" s="37">
        <v>43549</v>
      </c>
      <c r="T31" s="47"/>
      <c r="U31" s="49"/>
      <c r="V31" s="39">
        <f>V30+March[[#This Row],[Income]]-March[[#This Row],[Expenses]]</f>
        <v>1121</v>
      </c>
      <c r="W31" s="69"/>
      <c r="X31" s="69"/>
      <c r="Y31" s="69"/>
      <c r="Z31" s="37">
        <v>43580</v>
      </c>
      <c r="AA31" s="47"/>
      <c r="AB31" s="49"/>
      <c r="AC31" s="39">
        <f>AC30+April[[#This Row],[Income]]-April[[#This Row],[Expenses]]</f>
        <v>1121</v>
      </c>
      <c r="AD31" s="69"/>
      <c r="AE31" s="69"/>
      <c r="AF31" s="69"/>
      <c r="AG31" s="37">
        <v>43610</v>
      </c>
      <c r="AH31" s="47"/>
      <c r="AI31" s="49"/>
      <c r="AJ31" s="39">
        <f>AJ30+May[[#This Row],[Income]]-May[[#This Row],[Expenses]]</f>
        <v>1121</v>
      </c>
      <c r="AK31" s="69"/>
      <c r="AL31" s="69"/>
      <c r="AM31" s="69"/>
      <c r="AN31" s="37">
        <v>43641</v>
      </c>
      <c r="AO31" s="47"/>
      <c r="AP31" s="49"/>
      <c r="AQ31" s="39">
        <f>AQ30+June[[#This Row],[Income]]-June[[#This Row],[Expenses]]</f>
        <v>1121</v>
      </c>
      <c r="AR31" s="69"/>
      <c r="AS31" s="69"/>
      <c r="AT31" s="69"/>
      <c r="AU31" s="37">
        <v>43671</v>
      </c>
      <c r="AV31" s="47"/>
      <c r="AW31" s="49"/>
      <c r="AX31" s="39">
        <f>AX30+July[[#This Row],[Income]]-July[[#This Row],[Expenses]]</f>
        <v>1121</v>
      </c>
      <c r="AY31" s="69"/>
      <c r="AZ31" s="69"/>
      <c r="BA31" s="69"/>
      <c r="BB31" s="37">
        <v>43702</v>
      </c>
      <c r="BC31" s="47"/>
      <c r="BD31" s="49"/>
      <c r="BE31" s="39">
        <f>BE30+Aug[[#This Row],[Income]]-Aug[[#This Row],[Expenses]]</f>
        <v>1121</v>
      </c>
      <c r="BF31" s="69"/>
      <c r="BG31" s="69"/>
      <c r="BH31" s="69"/>
      <c r="BI31" s="37">
        <v>43733</v>
      </c>
      <c r="BJ31" s="47"/>
      <c r="BK31" s="49"/>
      <c r="BL31" s="39">
        <f>BL30+September[[#This Row],[Income]]-September[[#This Row],[Expenses]]</f>
        <v>1121</v>
      </c>
      <c r="BM31" s="69"/>
      <c r="BN31" s="69"/>
      <c r="BO31" s="69"/>
      <c r="BP31" s="37">
        <v>43763</v>
      </c>
      <c r="BQ31" s="47"/>
      <c r="BR31" s="49"/>
      <c r="BS31" s="39">
        <f>BS30+October[[#This Row],[Income]]-October[[#This Row],[Expenses]]</f>
        <v>1121</v>
      </c>
      <c r="BT31" s="69"/>
      <c r="BU31" s="69"/>
      <c r="BV31" s="69"/>
      <c r="BW31" s="37">
        <v>43794</v>
      </c>
      <c r="BX31" s="47"/>
      <c r="BY31" s="49"/>
      <c r="BZ31" s="39">
        <f>BZ30+November[[#This Row],[Income]]-November[[#This Row],[Expenses]]</f>
        <v>1121</v>
      </c>
      <c r="CA31" s="69"/>
      <c r="CB31" s="69"/>
      <c r="CC31" s="69"/>
      <c r="CD31" s="37">
        <v>43824</v>
      </c>
      <c r="CE31" s="47"/>
      <c r="CF31" s="49"/>
      <c r="CG31" s="39">
        <f>CG30+December[[#This Row],[Income]]-December[[#This Row],[Expenses]]</f>
        <v>1121</v>
      </c>
      <c r="CH31" s="69"/>
      <c r="CI31" s="69"/>
      <c r="CJ31" s="78"/>
    </row>
    <row r="32" spans="2:88" x14ac:dyDescent="0.25">
      <c r="B32" s="149"/>
      <c r="C32" s="150"/>
      <c r="D32" s="69"/>
      <c r="E32" s="6">
        <v>43491</v>
      </c>
      <c r="F32" s="47"/>
      <c r="G32" s="49"/>
      <c r="H32" s="17">
        <f>H31+January[[#This Row],[Income]]-January[[#This Row],[Expenses]]</f>
        <v>1121</v>
      </c>
      <c r="I32" s="69"/>
      <c r="J32" s="69"/>
      <c r="K32" s="69"/>
      <c r="L32" s="37">
        <v>43522</v>
      </c>
      <c r="M32" s="47"/>
      <c r="N32" s="49"/>
      <c r="O32" s="39">
        <f>O31+February[[#This Row],[Income]]-February[[#This Row],[Expenses]]</f>
        <v>1121</v>
      </c>
      <c r="P32" s="69"/>
      <c r="Q32" s="69"/>
      <c r="R32" s="69"/>
      <c r="S32" s="37">
        <v>43550</v>
      </c>
      <c r="T32" s="47"/>
      <c r="U32" s="49"/>
      <c r="V32" s="39">
        <f>V31+March[[#This Row],[Income]]-March[[#This Row],[Expenses]]</f>
        <v>1121</v>
      </c>
      <c r="W32" s="69"/>
      <c r="X32" s="69"/>
      <c r="Y32" s="69"/>
      <c r="Z32" s="37">
        <v>43581</v>
      </c>
      <c r="AA32" s="47"/>
      <c r="AB32" s="49"/>
      <c r="AC32" s="39">
        <f>AC31+April[[#This Row],[Income]]-April[[#This Row],[Expenses]]</f>
        <v>1121</v>
      </c>
      <c r="AD32" s="69"/>
      <c r="AE32" s="69"/>
      <c r="AF32" s="69"/>
      <c r="AG32" s="37">
        <v>43611</v>
      </c>
      <c r="AH32" s="47"/>
      <c r="AI32" s="49"/>
      <c r="AJ32" s="39">
        <f>AJ31+May[[#This Row],[Income]]-May[[#This Row],[Expenses]]</f>
        <v>1121</v>
      </c>
      <c r="AK32" s="69"/>
      <c r="AL32" s="69"/>
      <c r="AM32" s="69"/>
      <c r="AN32" s="37">
        <v>43642</v>
      </c>
      <c r="AO32" s="47"/>
      <c r="AP32" s="49"/>
      <c r="AQ32" s="39">
        <f>AQ31+June[[#This Row],[Income]]-June[[#This Row],[Expenses]]</f>
        <v>1121</v>
      </c>
      <c r="AR32" s="69"/>
      <c r="AS32" s="69"/>
      <c r="AT32" s="69"/>
      <c r="AU32" s="37">
        <v>43672</v>
      </c>
      <c r="AV32" s="47"/>
      <c r="AW32" s="49"/>
      <c r="AX32" s="39">
        <f>AX31+July[[#This Row],[Income]]-July[[#This Row],[Expenses]]</f>
        <v>1121</v>
      </c>
      <c r="AY32" s="69"/>
      <c r="AZ32" s="69"/>
      <c r="BA32" s="69"/>
      <c r="BB32" s="37">
        <v>43703</v>
      </c>
      <c r="BC32" s="47"/>
      <c r="BD32" s="49"/>
      <c r="BE32" s="39">
        <f>BE31+Aug[[#This Row],[Income]]-Aug[[#This Row],[Expenses]]</f>
        <v>1121</v>
      </c>
      <c r="BF32" s="69"/>
      <c r="BG32" s="69"/>
      <c r="BH32" s="69"/>
      <c r="BI32" s="37">
        <v>43734</v>
      </c>
      <c r="BJ32" s="47"/>
      <c r="BK32" s="49"/>
      <c r="BL32" s="39">
        <f>BL31+September[[#This Row],[Income]]-September[[#This Row],[Expenses]]</f>
        <v>1121</v>
      </c>
      <c r="BM32" s="69"/>
      <c r="BN32" s="69"/>
      <c r="BO32" s="69"/>
      <c r="BP32" s="37">
        <v>43764</v>
      </c>
      <c r="BQ32" s="47"/>
      <c r="BR32" s="49"/>
      <c r="BS32" s="39">
        <f>BS31+October[[#This Row],[Income]]-October[[#This Row],[Expenses]]</f>
        <v>1121</v>
      </c>
      <c r="BT32" s="69"/>
      <c r="BU32" s="69"/>
      <c r="BV32" s="69"/>
      <c r="BW32" s="37">
        <v>43795</v>
      </c>
      <c r="BX32" s="47"/>
      <c r="BY32" s="49"/>
      <c r="BZ32" s="39">
        <f>BZ31+November[[#This Row],[Income]]-November[[#This Row],[Expenses]]</f>
        <v>1121</v>
      </c>
      <c r="CA32" s="69"/>
      <c r="CB32" s="69"/>
      <c r="CC32" s="69"/>
      <c r="CD32" s="37">
        <v>43825</v>
      </c>
      <c r="CE32" s="47"/>
      <c r="CF32" s="49"/>
      <c r="CG32" s="39">
        <f>CG31+December[[#This Row],[Income]]-December[[#This Row],[Expenses]]</f>
        <v>1121</v>
      </c>
      <c r="CH32" s="69"/>
      <c r="CI32" s="69"/>
      <c r="CJ32" s="78"/>
    </row>
    <row r="33" spans="2:88" ht="15.75" thickBot="1" x14ac:dyDescent="0.3">
      <c r="B33" s="151"/>
      <c r="C33" s="152"/>
      <c r="D33" s="69"/>
      <c r="E33" s="6">
        <v>43492</v>
      </c>
      <c r="F33" s="47"/>
      <c r="G33" s="49"/>
      <c r="H33" s="17">
        <f>H32+January[[#This Row],[Income]]-January[[#This Row],[Expenses]]</f>
        <v>1121</v>
      </c>
      <c r="I33" s="69"/>
      <c r="J33" s="69"/>
      <c r="K33" s="69"/>
      <c r="L33" s="37">
        <v>43523</v>
      </c>
      <c r="M33" s="47"/>
      <c r="N33" s="49"/>
      <c r="O33" s="39">
        <f>O32+February[[#This Row],[Income]]-February[[#This Row],[Expenses]]</f>
        <v>1121</v>
      </c>
      <c r="P33" s="69"/>
      <c r="Q33" s="69"/>
      <c r="R33" s="69"/>
      <c r="S33" s="37">
        <v>43551</v>
      </c>
      <c r="T33" s="47"/>
      <c r="U33" s="49"/>
      <c r="V33" s="39">
        <f>V32+March[[#This Row],[Income]]-March[[#This Row],[Expenses]]</f>
        <v>1121</v>
      </c>
      <c r="W33" s="69"/>
      <c r="X33" s="69"/>
      <c r="Y33" s="69"/>
      <c r="Z33" s="37">
        <v>43582</v>
      </c>
      <c r="AA33" s="47"/>
      <c r="AB33" s="49"/>
      <c r="AC33" s="39">
        <f>AC32+April[[#This Row],[Income]]-April[[#This Row],[Expenses]]</f>
        <v>1121</v>
      </c>
      <c r="AD33" s="69"/>
      <c r="AE33" s="69"/>
      <c r="AF33" s="69"/>
      <c r="AG33" s="37">
        <v>43612</v>
      </c>
      <c r="AH33" s="47"/>
      <c r="AI33" s="49"/>
      <c r="AJ33" s="39">
        <f>AJ32+May[[#This Row],[Income]]-May[[#This Row],[Expenses]]</f>
        <v>1121</v>
      </c>
      <c r="AK33" s="69"/>
      <c r="AL33" s="69"/>
      <c r="AM33" s="69"/>
      <c r="AN33" s="37">
        <v>43643</v>
      </c>
      <c r="AO33" s="47"/>
      <c r="AP33" s="49"/>
      <c r="AQ33" s="39">
        <f>AQ32+June[[#This Row],[Income]]-June[[#This Row],[Expenses]]</f>
        <v>1121</v>
      </c>
      <c r="AR33" s="69"/>
      <c r="AS33" s="69"/>
      <c r="AT33" s="69"/>
      <c r="AU33" s="37">
        <v>43673</v>
      </c>
      <c r="AV33" s="47"/>
      <c r="AW33" s="49"/>
      <c r="AX33" s="39">
        <f>AX32+July[[#This Row],[Income]]-July[[#This Row],[Expenses]]</f>
        <v>1121</v>
      </c>
      <c r="AY33" s="69"/>
      <c r="AZ33" s="69"/>
      <c r="BA33" s="69"/>
      <c r="BB33" s="37">
        <v>43704</v>
      </c>
      <c r="BC33" s="47"/>
      <c r="BD33" s="49"/>
      <c r="BE33" s="39">
        <f>BE32+Aug[[#This Row],[Income]]-Aug[[#This Row],[Expenses]]</f>
        <v>1121</v>
      </c>
      <c r="BF33" s="69"/>
      <c r="BG33" s="69"/>
      <c r="BH33" s="69"/>
      <c r="BI33" s="37">
        <v>43735</v>
      </c>
      <c r="BJ33" s="47"/>
      <c r="BK33" s="49"/>
      <c r="BL33" s="39">
        <f>BL32+September[[#This Row],[Income]]-September[[#This Row],[Expenses]]</f>
        <v>1121</v>
      </c>
      <c r="BM33" s="69"/>
      <c r="BN33" s="69"/>
      <c r="BO33" s="69"/>
      <c r="BP33" s="37">
        <v>43765</v>
      </c>
      <c r="BQ33" s="47"/>
      <c r="BR33" s="49"/>
      <c r="BS33" s="39">
        <f>BS32+October[[#This Row],[Income]]-October[[#This Row],[Expenses]]</f>
        <v>1121</v>
      </c>
      <c r="BT33" s="69"/>
      <c r="BU33" s="69"/>
      <c r="BV33" s="69"/>
      <c r="BW33" s="37">
        <v>43796</v>
      </c>
      <c r="BX33" s="47"/>
      <c r="BY33" s="49"/>
      <c r="BZ33" s="39">
        <f>BZ32+November[[#This Row],[Income]]-November[[#This Row],[Expenses]]</f>
        <v>1121</v>
      </c>
      <c r="CA33" s="69"/>
      <c r="CB33" s="69"/>
      <c r="CC33" s="69"/>
      <c r="CD33" s="37">
        <v>43826</v>
      </c>
      <c r="CE33" s="47"/>
      <c r="CF33" s="49"/>
      <c r="CG33" s="39">
        <f>CG32+December[[#This Row],[Income]]-December[[#This Row],[Expenses]]</f>
        <v>1121</v>
      </c>
      <c r="CH33" s="69"/>
      <c r="CI33" s="69"/>
      <c r="CJ33" s="78"/>
    </row>
    <row r="34" spans="2:88" x14ac:dyDescent="0.25">
      <c r="B34" s="277" t="s">
        <v>118</v>
      </c>
      <c r="C34" s="278"/>
      <c r="D34" s="69"/>
      <c r="E34" s="6">
        <v>43493</v>
      </c>
      <c r="F34" s="47"/>
      <c r="G34" s="49"/>
      <c r="H34" s="17">
        <f>H33+January[[#This Row],[Income]]-January[[#This Row],[Expenses]]</f>
        <v>1121</v>
      </c>
      <c r="I34" s="69"/>
      <c r="J34" s="69"/>
      <c r="K34" s="69"/>
      <c r="L34" s="37">
        <v>43524</v>
      </c>
      <c r="M34" s="47"/>
      <c r="N34" s="49"/>
      <c r="O34" s="39">
        <f>O33+February[[#This Row],[Income]]-February[[#This Row],[Expenses]]</f>
        <v>1121</v>
      </c>
      <c r="P34" s="69"/>
      <c r="Q34" s="69"/>
      <c r="R34" s="69"/>
      <c r="S34" s="37">
        <v>43552</v>
      </c>
      <c r="T34" s="47"/>
      <c r="U34" s="49"/>
      <c r="V34" s="39">
        <f>V33+March[[#This Row],[Income]]-March[[#This Row],[Expenses]]</f>
        <v>1121</v>
      </c>
      <c r="W34" s="69"/>
      <c r="X34" s="69"/>
      <c r="Y34" s="69"/>
      <c r="Z34" s="37">
        <v>43583</v>
      </c>
      <c r="AA34" s="47"/>
      <c r="AB34" s="49"/>
      <c r="AC34" s="39">
        <f>AC33+April[[#This Row],[Income]]-April[[#This Row],[Expenses]]</f>
        <v>1121</v>
      </c>
      <c r="AD34" s="69"/>
      <c r="AE34" s="69"/>
      <c r="AF34" s="69"/>
      <c r="AG34" s="37">
        <v>43613</v>
      </c>
      <c r="AH34" s="47"/>
      <c r="AI34" s="49"/>
      <c r="AJ34" s="39">
        <f>AJ33+May[[#This Row],[Income]]-May[[#This Row],[Expenses]]</f>
        <v>1121</v>
      </c>
      <c r="AK34" s="69"/>
      <c r="AL34" s="69"/>
      <c r="AM34" s="69"/>
      <c r="AN34" s="37">
        <v>43644</v>
      </c>
      <c r="AO34" s="47"/>
      <c r="AP34" s="49"/>
      <c r="AQ34" s="39">
        <f>AQ33+June[[#This Row],[Income]]-June[[#This Row],[Expenses]]</f>
        <v>1121</v>
      </c>
      <c r="AR34" s="69"/>
      <c r="AS34" s="69"/>
      <c r="AT34" s="69"/>
      <c r="AU34" s="37">
        <v>43674</v>
      </c>
      <c r="AV34" s="47"/>
      <c r="AW34" s="49"/>
      <c r="AX34" s="39">
        <f>AX33+July[[#This Row],[Income]]-July[[#This Row],[Expenses]]</f>
        <v>1121</v>
      </c>
      <c r="AY34" s="69"/>
      <c r="AZ34" s="69"/>
      <c r="BA34" s="69"/>
      <c r="BB34" s="37">
        <v>43705</v>
      </c>
      <c r="BC34" s="47"/>
      <c r="BD34" s="49"/>
      <c r="BE34" s="39">
        <f>BE33+Aug[[#This Row],[Income]]-Aug[[#This Row],[Expenses]]</f>
        <v>1121</v>
      </c>
      <c r="BF34" s="69"/>
      <c r="BG34" s="69"/>
      <c r="BH34" s="69"/>
      <c r="BI34" s="37">
        <v>43736</v>
      </c>
      <c r="BJ34" s="47"/>
      <c r="BK34" s="49"/>
      <c r="BL34" s="39">
        <f>BL33+September[[#This Row],[Income]]-September[[#This Row],[Expenses]]</f>
        <v>1121</v>
      </c>
      <c r="BM34" s="69"/>
      <c r="BN34" s="69"/>
      <c r="BO34" s="69"/>
      <c r="BP34" s="37">
        <v>43766</v>
      </c>
      <c r="BQ34" s="47"/>
      <c r="BR34" s="49"/>
      <c r="BS34" s="39">
        <f>BS33+October[[#This Row],[Income]]-October[[#This Row],[Expenses]]</f>
        <v>1121</v>
      </c>
      <c r="BT34" s="69"/>
      <c r="BU34" s="69"/>
      <c r="BV34" s="69"/>
      <c r="BW34" s="37">
        <v>43797</v>
      </c>
      <c r="BX34" s="47"/>
      <c r="BY34" s="49"/>
      <c r="BZ34" s="39">
        <f>BZ33+November[[#This Row],[Income]]-November[[#This Row],[Expenses]]</f>
        <v>1121</v>
      </c>
      <c r="CA34" s="69"/>
      <c r="CB34" s="69"/>
      <c r="CC34" s="69"/>
      <c r="CD34" s="37">
        <v>43827</v>
      </c>
      <c r="CE34" s="47"/>
      <c r="CF34" s="49"/>
      <c r="CG34" s="39">
        <f>CG33+December[[#This Row],[Income]]-December[[#This Row],[Expenses]]</f>
        <v>1121</v>
      </c>
      <c r="CH34" s="69"/>
      <c r="CI34" s="69"/>
      <c r="CJ34" s="78"/>
    </row>
    <row r="35" spans="2:88" ht="15.75" thickBot="1" x14ac:dyDescent="0.3">
      <c r="B35" s="279"/>
      <c r="C35" s="280"/>
      <c r="D35" s="69"/>
      <c r="E35" s="6">
        <v>43494</v>
      </c>
      <c r="F35" s="47"/>
      <c r="G35" s="49"/>
      <c r="H35" s="17">
        <f>H34+January[[#This Row],[Income]]-January[[#This Row],[Expenses]]</f>
        <v>1121</v>
      </c>
      <c r="I35" s="69"/>
      <c r="J35" s="69"/>
      <c r="K35" s="69"/>
      <c r="L35" s="37">
        <v>43525</v>
      </c>
      <c r="M35" s="136"/>
      <c r="N35" s="137"/>
      <c r="O35" s="39">
        <f>O34+February[[#This Row],[Income]]-February[[#This Row],[Expenses]]</f>
        <v>1121</v>
      </c>
      <c r="P35" s="69"/>
      <c r="Q35" s="69"/>
      <c r="R35" s="69"/>
      <c r="S35" s="37">
        <v>43553</v>
      </c>
      <c r="T35" s="47"/>
      <c r="U35" s="49"/>
      <c r="V35" s="39">
        <f>V34+March[[#This Row],[Income]]-March[[#This Row],[Expenses]]</f>
        <v>1121</v>
      </c>
      <c r="W35" s="69"/>
      <c r="X35" s="69"/>
      <c r="Y35" s="69"/>
      <c r="Z35" s="37">
        <v>43584</v>
      </c>
      <c r="AA35" s="47"/>
      <c r="AB35" s="49"/>
      <c r="AC35" s="39">
        <f>AC34+April[[#This Row],[Income]]-April[[#This Row],[Expenses]]</f>
        <v>1121</v>
      </c>
      <c r="AD35" s="69"/>
      <c r="AE35" s="69"/>
      <c r="AF35" s="69"/>
      <c r="AG35" s="37">
        <v>43614</v>
      </c>
      <c r="AH35" s="47"/>
      <c r="AI35" s="49"/>
      <c r="AJ35" s="39">
        <f>AJ34+May[[#This Row],[Income]]-May[[#This Row],[Expenses]]</f>
        <v>1121</v>
      </c>
      <c r="AK35" s="69"/>
      <c r="AL35" s="69"/>
      <c r="AM35" s="69"/>
      <c r="AN35" s="37">
        <v>43645</v>
      </c>
      <c r="AO35" s="47"/>
      <c r="AP35" s="49"/>
      <c r="AQ35" s="39">
        <f>AQ34+June[[#This Row],[Income]]-June[[#This Row],[Expenses]]</f>
        <v>1121</v>
      </c>
      <c r="AR35" s="69"/>
      <c r="AS35" s="69"/>
      <c r="AT35" s="69"/>
      <c r="AU35" s="37">
        <v>43675</v>
      </c>
      <c r="AV35" s="47"/>
      <c r="AW35" s="49"/>
      <c r="AX35" s="39">
        <f>AX34+July[[#This Row],[Income]]-July[[#This Row],[Expenses]]</f>
        <v>1121</v>
      </c>
      <c r="AY35" s="69"/>
      <c r="AZ35" s="69"/>
      <c r="BA35" s="69"/>
      <c r="BB35" s="37">
        <v>43706</v>
      </c>
      <c r="BC35" s="47"/>
      <c r="BD35" s="49"/>
      <c r="BE35" s="39">
        <f>BE34+Aug[[#This Row],[Income]]-Aug[[#This Row],[Expenses]]</f>
        <v>1121</v>
      </c>
      <c r="BF35" s="69"/>
      <c r="BG35" s="69"/>
      <c r="BH35" s="69"/>
      <c r="BI35" s="37">
        <v>43737</v>
      </c>
      <c r="BJ35" s="47"/>
      <c r="BK35" s="49"/>
      <c r="BL35" s="39">
        <f>BL34+September[[#This Row],[Income]]-September[[#This Row],[Expenses]]</f>
        <v>1121</v>
      </c>
      <c r="BM35" s="69"/>
      <c r="BN35" s="69"/>
      <c r="BO35" s="69"/>
      <c r="BP35" s="37">
        <v>43767</v>
      </c>
      <c r="BQ35" s="47"/>
      <c r="BR35" s="49"/>
      <c r="BS35" s="39">
        <f>BS34+October[[#This Row],[Income]]-October[[#This Row],[Expenses]]</f>
        <v>1121</v>
      </c>
      <c r="BT35" s="69"/>
      <c r="BU35" s="69"/>
      <c r="BV35" s="69"/>
      <c r="BW35" s="37">
        <v>43798</v>
      </c>
      <c r="BX35" s="47"/>
      <c r="BY35" s="49"/>
      <c r="BZ35" s="39">
        <f>BZ34+November[[#This Row],[Income]]-November[[#This Row],[Expenses]]</f>
        <v>1121</v>
      </c>
      <c r="CA35" s="69"/>
      <c r="CB35" s="69"/>
      <c r="CC35" s="69"/>
      <c r="CD35" s="37">
        <v>43828</v>
      </c>
      <c r="CE35" s="47"/>
      <c r="CF35" s="49"/>
      <c r="CG35" s="39">
        <f>CG34+December[[#This Row],[Income]]-December[[#This Row],[Expenses]]</f>
        <v>1121</v>
      </c>
      <c r="CH35" s="69"/>
      <c r="CI35" s="69"/>
      <c r="CJ35" s="78"/>
    </row>
    <row r="36" spans="2:88" x14ac:dyDescent="0.25">
      <c r="B36" s="71"/>
      <c r="C36" s="69"/>
      <c r="D36" s="69"/>
      <c r="E36" s="6">
        <v>43495</v>
      </c>
      <c r="F36" s="47"/>
      <c r="G36" s="49"/>
      <c r="H36" s="17">
        <f>H35+January[[#This Row],[Income]]-January[[#This Row],[Expenses]]</f>
        <v>1121</v>
      </c>
      <c r="I36" s="146"/>
      <c r="J36" s="147"/>
      <c r="K36" s="148"/>
      <c r="L36" s="37">
        <v>43526</v>
      </c>
      <c r="M36" s="136"/>
      <c r="N36" s="137"/>
      <c r="O36" s="39">
        <f>O35+February[[#This Row],[Income]]-February[[#This Row],[Expenses]]</f>
        <v>1121</v>
      </c>
      <c r="P36" s="146"/>
      <c r="Q36" s="147"/>
      <c r="R36" s="148"/>
      <c r="S36" s="37">
        <v>43554</v>
      </c>
      <c r="T36" s="47"/>
      <c r="U36" s="49"/>
      <c r="V36" s="39">
        <f>V35+March[[#This Row],[Income]]-March[[#This Row],[Expenses]]</f>
        <v>1121</v>
      </c>
      <c r="W36" s="146"/>
      <c r="X36" s="147"/>
      <c r="Y36" s="148"/>
      <c r="Z36" s="37">
        <v>43585</v>
      </c>
      <c r="AA36" s="47"/>
      <c r="AB36" s="49"/>
      <c r="AC36" s="39">
        <f>AC35+April[[#This Row],[Income]]-April[[#This Row],[Expenses]]</f>
        <v>1121</v>
      </c>
      <c r="AD36" s="146"/>
      <c r="AE36" s="147"/>
      <c r="AF36" s="148"/>
      <c r="AG36" s="37">
        <v>43615</v>
      </c>
      <c r="AH36" s="47"/>
      <c r="AI36" s="49"/>
      <c r="AJ36" s="39">
        <f>AJ35+May[[#This Row],[Income]]-May[[#This Row],[Expenses]]</f>
        <v>1121</v>
      </c>
      <c r="AK36" s="146"/>
      <c r="AL36" s="147"/>
      <c r="AM36" s="148"/>
      <c r="AN36" s="37">
        <v>43646</v>
      </c>
      <c r="AO36" s="47"/>
      <c r="AP36" s="49"/>
      <c r="AQ36" s="39">
        <f>AQ35+June[[#This Row],[Income]]-June[[#This Row],[Expenses]]</f>
        <v>1121</v>
      </c>
      <c r="AR36" s="146"/>
      <c r="AS36" s="147"/>
      <c r="AT36" s="148"/>
      <c r="AU36" s="37">
        <v>43676</v>
      </c>
      <c r="AV36" s="47"/>
      <c r="AW36" s="49"/>
      <c r="AX36" s="39">
        <f>AX35+July[[#This Row],[Income]]-July[[#This Row],[Expenses]]</f>
        <v>1121</v>
      </c>
      <c r="AY36" s="146"/>
      <c r="AZ36" s="147"/>
      <c r="BA36" s="148"/>
      <c r="BB36" s="37">
        <v>43707</v>
      </c>
      <c r="BC36" s="47"/>
      <c r="BD36" s="49"/>
      <c r="BE36" s="39">
        <f>BE35+Aug[[#This Row],[Income]]-Aug[[#This Row],[Expenses]]</f>
        <v>1121</v>
      </c>
      <c r="BF36" s="146"/>
      <c r="BG36" s="147"/>
      <c r="BH36" s="148"/>
      <c r="BI36" s="37">
        <v>43738</v>
      </c>
      <c r="BJ36" s="47"/>
      <c r="BK36" s="49"/>
      <c r="BL36" s="39">
        <f>BL35+September[[#This Row],[Income]]-September[[#This Row],[Expenses]]</f>
        <v>1121</v>
      </c>
      <c r="BM36" s="146"/>
      <c r="BN36" s="147"/>
      <c r="BO36" s="148"/>
      <c r="BP36" s="37">
        <v>43768</v>
      </c>
      <c r="BQ36" s="47"/>
      <c r="BR36" s="49"/>
      <c r="BS36" s="39">
        <f>BS35+October[[#This Row],[Income]]-October[[#This Row],[Expenses]]</f>
        <v>1121</v>
      </c>
      <c r="BT36" s="146"/>
      <c r="BU36" s="147"/>
      <c r="BV36" s="148"/>
      <c r="BW36" s="37">
        <v>43799</v>
      </c>
      <c r="BX36" s="47"/>
      <c r="BY36" s="49"/>
      <c r="BZ36" s="39">
        <f>BZ35+November[[#This Row],[Income]]-November[[#This Row],[Expenses]]</f>
        <v>1121</v>
      </c>
      <c r="CA36" s="146"/>
      <c r="CB36" s="147"/>
      <c r="CC36" s="148"/>
      <c r="CD36" s="37">
        <v>43829</v>
      </c>
      <c r="CE36" s="47"/>
      <c r="CF36" s="49"/>
      <c r="CG36" s="39">
        <f>CG35+December[[#This Row],[Income]]-December[[#This Row],[Expenses]]</f>
        <v>1121</v>
      </c>
      <c r="CH36" s="146"/>
      <c r="CI36" s="147"/>
      <c r="CJ36" s="148"/>
    </row>
    <row r="37" spans="2:88" x14ac:dyDescent="0.25">
      <c r="B37" s="71"/>
      <c r="C37" s="69"/>
      <c r="D37" s="69"/>
      <c r="E37" s="6">
        <v>43496</v>
      </c>
      <c r="F37" s="47"/>
      <c r="G37" s="49"/>
      <c r="H37" s="17">
        <f>H36+January[[#This Row],[Income]]-January[[#This Row],[Expenses]]</f>
        <v>1121</v>
      </c>
      <c r="I37" s="146"/>
      <c r="J37" s="147"/>
      <c r="K37" s="148"/>
      <c r="L37" s="37">
        <v>43527</v>
      </c>
      <c r="M37" s="136"/>
      <c r="N37" s="137"/>
      <c r="O37" s="39">
        <f>O36+February[[#This Row],[Income]]-February[[#This Row],[Expenses]]</f>
        <v>1121</v>
      </c>
      <c r="P37" s="146"/>
      <c r="Q37" s="147"/>
      <c r="R37" s="148"/>
      <c r="S37" s="37">
        <v>43555</v>
      </c>
      <c r="T37" s="47"/>
      <c r="U37" s="49"/>
      <c r="V37" s="39">
        <f>V36+March[[#This Row],[Income]]-March[[#This Row],[Expenses]]</f>
        <v>1121</v>
      </c>
      <c r="W37" s="146"/>
      <c r="X37" s="147"/>
      <c r="Y37" s="148"/>
      <c r="Z37" s="37">
        <v>43586</v>
      </c>
      <c r="AA37" s="136"/>
      <c r="AB37" s="137"/>
      <c r="AC37" s="39">
        <f>AC36+April[[#This Row],[Income]]-April[[#This Row],[Expenses]]</f>
        <v>1121</v>
      </c>
      <c r="AD37" s="146"/>
      <c r="AE37" s="147"/>
      <c r="AF37" s="148"/>
      <c r="AG37" s="37">
        <v>43616</v>
      </c>
      <c r="AH37" s="47"/>
      <c r="AI37" s="49"/>
      <c r="AJ37" s="39">
        <f>AJ36+May[[#This Row],[Income]]-May[[#This Row],[Expenses]]</f>
        <v>1121</v>
      </c>
      <c r="AK37" s="146"/>
      <c r="AL37" s="147"/>
      <c r="AM37" s="148"/>
      <c r="AN37" s="37">
        <v>43647</v>
      </c>
      <c r="AO37" s="136"/>
      <c r="AP37" s="137"/>
      <c r="AQ37" s="39">
        <f>AQ36+June[[#This Row],[Income]]-June[[#This Row],[Expenses]]</f>
        <v>1121</v>
      </c>
      <c r="AR37" s="146"/>
      <c r="AS37" s="147"/>
      <c r="AT37" s="148"/>
      <c r="AU37" s="37">
        <v>43677</v>
      </c>
      <c r="AV37" s="47"/>
      <c r="AW37" s="49"/>
      <c r="AX37" s="39">
        <f>AX36+July[[#This Row],[Income]]-July[[#This Row],[Expenses]]</f>
        <v>1121</v>
      </c>
      <c r="AY37" s="146"/>
      <c r="AZ37" s="147"/>
      <c r="BA37" s="148"/>
      <c r="BB37" s="37">
        <v>43708</v>
      </c>
      <c r="BC37" s="47"/>
      <c r="BD37" s="49"/>
      <c r="BE37" s="39">
        <f>BE36+Aug[[#This Row],[Income]]-Aug[[#This Row],[Expenses]]</f>
        <v>1121</v>
      </c>
      <c r="BF37" s="146"/>
      <c r="BG37" s="147"/>
      <c r="BH37" s="148"/>
      <c r="BI37" s="37">
        <v>43739</v>
      </c>
      <c r="BJ37" s="136"/>
      <c r="BK37" s="137"/>
      <c r="BL37" s="39">
        <f>BL36+September[[#This Row],[Income]]-September[[#This Row],[Expenses]]</f>
        <v>1121</v>
      </c>
      <c r="BM37" s="146"/>
      <c r="BN37" s="147"/>
      <c r="BO37" s="148"/>
      <c r="BP37" s="37">
        <v>43769</v>
      </c>
      <c r="BQ37" s="47"/>
      <c r="BR37" s="49"/>
      <c r="BS37" s="39">
        <f>BS36+October[[#This Row],[Income]]-October[[#This Row],[Expenses]]</f>
        <v>1121</v>
      </c>
      <c r="BT37" s="146"/>
      <c r="BU37" s="147"/>
      <c r="BV37" s="148"/>
      <c r="BW37" s="37">
        <v>43800</v>
      </c>
      <c r="BX37" s="136"/>
      <c r="BY37" s="137"/>
      <c r="BZ37" s="39">
        <f>BZ36+November[[#This Row],[Income]]-November[[#This Row],[Expenses]]</f>
        <v>1121</v>
      </c>
      <c r="CA37" s="146"/>
      <c r="CB37" s="147"/>
      <c r="CC37" s="148"/>
      <c r="CD37" s="37">
        <v>43830</v>
      </c>
      <c r="CE37" s="47"/>
      <c r="CF37" s="49"/>
      <c r="CG37" s="39">
        <f>CG36+December[[#This Row],[Income]]-December[[#This Row],[Expenses]]</f>
        <v>1121</v>
      </c>
      <c r="CH37" s="146"/>
      <c r="CI37" s="147"/>
      <c r="CJ37" s="148"/>
    </row>
    <row r="38" spans="2:88" x14ac:dyDescent="0.25">
      <c r="B38" s="157" t="s">
        <v>25</v>
      </c>
      <c r="C38" s="158"/>
      <c r="D38" s="159"/>
      <c r="E38" s="133">
        <f>January[[#Totals],[Income]]-January[[#Totals],[Expenses]]</f>
        <v>121</v>
      </c>
      <c r="F38" s="8">
        <f>SUM(January[Income])</f>
        <v>121</v>
      </c>
      <c r="G38" s="9">
        <f>SUM(January[Expenses])</f>
        <v>0</v>
      </c>
      <c r="H38" s="17">
        <f>H37</f>
        <v>1121</v>
      </c>
      <c r="I38" s="146"/>
      <c r="J38" s="147"/>
      <c r="K38" s="148"/>
      <c r="L38" s="133">
        <f>M38-N38</f>
        <v>0</v>
      </c>
      <c r="M38" s="8">
        <f>SUM(February[Income])</f>
        <v>0</v>
      </c>
      <c r="N38" s="9">
        <f>SUM(February[Expenses])</f>
        <v>0</v>
      </c>
      <c r="O38" s="39">
        <f>O37</f>
        <v>1121</v>
      </c>
      <c r="P38" s="146"/>
      <c r="Q38" s="147"/>
      <c r="R38" s="148"/>
      <c r="S38" s="133">
        <f>T38-U38</f>
        <v>0</v>
      </c>
      <c r="T38" s="8">
        <f>SUM(March[Income])</f>
        <v>0</v>
      </c>
      <c r="U38" s="9">
        <f>SUM(March[Expenses])</f>
        <v>0</v>
      </c>
      <c r="V38" s="39">
        <f>V37</f>
        <v>1121</v>
      </c>
      <c r="W38" s="146"/>
      <c r="X38" s="147"/>
      <c r="Y38" s="148"/>
      <c r="Z38" s="133">
        <f>AA38-AB38</f>
        <v>0</v>
      </c>
      <c r="AA38" s="8">
        <f>SUM(April[Income])</f>
        <v>0</v>
      </c>
      <c r="AB38" s="9">
        <f>SUM(April[Expenses])</f>
        <v>0</v>
      </c>
      <c r="AC38" s="39">
        <f>AC37</f>
        <v>1121</v>
      </c>
      <c r="AD38" s="146"/>
      <c r="AE38" s="147"/>
      <c r="AF38" s="148"/>
      <c r="AG38" s="133">
        <f>AH38-AI38</f>
        <v>0</v>
      </c>
      <c r="AH38" s="8">
        <f>SUM(May[Income])</f>
        <v>0</v>
      </c>
      <c r="AI38" s="9">
        <f>SUM(May[Expenses])</f>
        <v>0</v>
      </c>
      <c r="AJ38" s="39">
        <f>AJ37</f>
        <v>1121</v>
      </c>
      <c r="AK38" s="146"/>
      <c r="AL38" s="147"/>
      <c r="AM38" s="148"/>
      <c r="AN38" s="133">
        <f>AO38-AP38</f>
        <v>0</v>
      </c>
      <c r="AO38" s="8">
        <f>SUM(June[Income])</f>
        <v>0</v>
      </c>
      <c r="AP38" s="9">
        <f>SUM(June[Expenses])</f>
        <v>0</v>
      </c>
      <c r="AQ38" s="39">
        <f>AQ37</f>
        <v>1121</v>
      </c>
      <c r="AR38" s="146"/>
      <c r="AS38" s="147"/>
      <c r="AT38" s="148"/>
      <c r="AU38" s="133">
        <f>AV38-AW38</f>
        <v>0</v>
      </c>
      <c r="AV38" s="8">
        <f>SUM(July[Income])</f>
        <v>0</v>
      </c>
      <c r="AW38" s="9">
        <f>SUM(July[Expenses])</f>
        <v>0</v>
      </c>
      <c r="AX38" s="39">
        <f>AX37</f>
        <v>1121</v>
      </c>
      <c r="AY38" s="146"/>
      <c r="AZ38" s="147"/>
      <c r="BA38" s="148"/>
      <c r="BB38" s="133">
        <f>BC38-BD38</f>
        <v>0</v>
      </c>
      <c r="BC38" s="8">
        <f>SUM(Aug[Income])</f>
        <v>0</v>
      </c>
      <c r="BD38" s="9">
        <f>SUM(Aug[Expenses])</f>
        <v>0</v>
      </c>
      <c r="BE38" s="39">
        <f>BE37</f>
        <v>1121</v>
      </c>
      <c r="BF38" s="146"/>
      <c r="BG38" s="147"/>
      <c r="BH38" s="148"/>
      <c r="BI38" s="133">
        <f>BJ38-BK38</f>
        <v>0</v>
      </c>
      <c r="BJ38" s="8">
        <f>SUM(September[Income])</f>
        <v>0</v>
      </c>
      <c r="BK38" s="9">
        <f>SUM(September[Expenses])</f>
        <v>0</v>
      </c>
      <c r="BL38" s="39">
        <f>BL37</f>
        <v>1121</v>
      </c>
      <c r="BM38" s="146"/>
      <c r="BN38" s="147"/>
      <c r="BO38" s="148"/>
      <c r="BP38" s="133">
        <f>BQ38-BR38</f>
        <v>0</v>
      </c>
      <c r="BQ38" s="8">
        <f>SUM(October[Income])</f>
        <v>0</v>
      </c>
      <c r="BR38" s="9">
        <f>SUM(October[Expenses])</f>
        <v>0</v>
      </c>
      <c r="BS38" s="39">
        <f>BS37</f>
        <v>1121</v>
      </c>
      <c r="BT38" s="146"/>
      <c r="BU38" s="147"/>
      <c r="BV38" s="148"/>
      <c r="BW38" s="133">
        <f>BX38-BY38</f>
        <v>0</v>
      </c>
      <c r="BX38" s="8">
        <f>SUM(November[Income])</f>
        <v>0</v>
      </c>
      <c r="BY38" s="9">
        <f>SUM(November[Expenses])</f>
        <v>0</v>
      </c>
      <c r="BZ38" s="39">
        <f>BZ37</f>
        <v>1121</v>
      </c>
      <c r="CA38" s="146"/>
      <c r="CB38" s="147"/>
      <c r="CC38" s="148"/>
      <c r="CD38" s="133">
        <f>CE38-CF38</f>
        <v>0</v>
      </c>
      <c r="CE38" s="8">
        <f>SUM(December[Income])</f>
        <v>0</v>
      </c>
      <c r="CF38" s="9">
        <f>SUM(December[Expenses])</f>
        <v>0</v>
      </c>
      <c r="CG38" s="39">
        <f>CG37</f>
        <v>1121</v>
      </c>
      <c r="CH38" s="146"/>
      <c r="CI38" s="147"/>
      <c r="CJ38" s="148"/>
    </row>
    <row r="39" spans="2:88" ht="15.75" thickBot="1" x14ac:dyDescent="0.3">
      <c r="B39" s="72"/>
      <c r="C39" s="70"/>
      <c r="D39" s="70"/>
      <c r="E39" s="70"/>
      <c r="F39" s="70"/>
      <c r="G39" s="70"/>
      <c r="H39" s="70"/>
      <c r="I39" s="74"/>
      <c r="J39" s="74"/>
      <c r="K39" s="70"/>
      <c r="L39" s="70"/>
      <c r="M39" s="70"/>
      <c r="N39" s="70"/>
      <c r="O39" s="70"/>
      <c r="P39" s="74"/>
      <c r="Q39" s="74"/>
      <c r="R39" s="70"/>
      <c r="S39" s="70"/>
      <c r="T39" s="70"/>
      <c r="U39" s="70"/>
      <c r="V39" s="70"/>
      <c r="W39" s="74"/>
      <c r="X39" s="74"/>
      <c r="Y39" s="70"/>
      <c r="Z39" s="70"/>
      <c r="AA39" s="70"/>
      <c r="AB39" s="70"/>
      <c r="AC39" s="70"/>
      <c r="AD39" s="74"/>
      <c r="AE39" s="74"/>
      <c r="AF39" s="70"/>
      <c r="AG39" s="70"/>
      <c r="AH39" s="70"/>
      <c r="AI39" s="70"/>
      <c r="AJ39" s="70"/>
      <c r="AK39" s="74"/>
      <c r="AL39" s="74"/>
      <c r="AM39" s="70"/>
      <c r="AN39" s="70"/>
      <c r="AO39" s="70"/>
      <c r="AP39" s="70"/>
      <c r="AQ39" s="70"/>
      <c r="AR39" s="74"/>
      <c r="AS39" s="74"/>
      <c r="AT39" s="70"/>
      <c r="AU39" s="70"/>
      <c r="AV39" s="70"/>
      <c r="AW39" s="70"/>
      <c r="AX39" s="70"/>
      <c r="AY39" s="74"/>
      <c r="AZ39" s="74"/>
      <c r="BA39" s="70"/>
      <c r="BB39" s="70"/>
      <c r="BC39" s="70"/>
      <c r="BD39" s="70"/>
      <c r="BE39" s="70"/>
      <c r="BF39" s="74"/>
      <c r="BG39" s="74"/>
      <c r="BH39" s="70"/>
      <c r="BI39" s="70"/>
      <c r="BJ39" s="70"/>
      <c r="BK39" s="70"/>
      <c r="BL39" s="70"/>
      <c r="BM39" s="74"/>
      <c r="BN39" s="74"/>
      <c r="BO39" s="70"/>
      <c r="BP39" s="70"/>
      <c r="BQ39" s="70"/>
      <c r="BR39" s="70"/>
      <c r="BS39" s="70"/>
      <c r="BT39" s="74"/>
      <c r="BU39" s="74"/>
      <c r="BV39" s="70"/>
      <c r="BW39" s="70"/>
      <c r="BX39" s="70"/>
      <c r="BY39" s="70"/>
      <c r="BZ39" s="70"/>
      <c r="CA39" s="74"/>
      <c r="CB39" s="74"/>
      <c r="CC39" s="70"/>
      <c r="CD39" s="70"/>
      <c r="CE39" s="70"/>
      <c r="CF39" s="70"/>
      <c r="CG39" s="70"/>
      <c r="CH39" s="74"/>
      <c r="CI39" s="74"/>
      <c r="CJ39" s="79"/>
    </row>
    <row r="40" spans="2:88" x14ac:dyDescent="0.25">
      <c r="I40" s="41"/>
      <c r="P40" s="41"/>
    </row>
    <row r="41" spans="2:88" x14ac:dyDescent="0.25">
      <c r="I41" s="41"/>
      <c r="P41" s="41"/>
    </row>
    <row r="43" spans="2:88" ht="15.75" thickBot="1" x14ac:dyDescent="0.3"/>
    <row r="44" spans="2:88" ht="21.75" thickBot="1" x14ac:dyDescent="0.3">
      <c r="B44" s="155" t="s">
        <v>28</v>
      </c>
      <c r="C44" s="156"/>
      <c r="D44" s="42"/>
      <c r="E44" s="42"/>
      <c r="F44" s="42"/>
    </row>
    <row r="45" spans="2:88" ht="15.75" thickBot="1" x14ac:dyDescent="0.3">
      <c r="B45" s="153" t="s">
        <v>105</v>
      </c>
      <c r="C45" s="154"/>
    </row>
    <row r="46" spans="2:88" x14ac:dyDescent="0.25">
      <c r="B46" s="2" t="s">
        <v>9</v>
      </c>
      <c r="C46" s="2" t="s">
        <v>32</v>
      </c>
    </row>
    <row r="47" spans="2:88" x14ac:dyDescent="0.25">
      <c r="B47" s="1">
        <f t="shared" ref="B47:B76" si="0">E7</f>
        <v>43466</v>
      </c>
      <c r="C47" s="7">
        <f>H7</f>
        <v>1000</v>
      </c>
    </row>
    <row r="48" spans="2:88" x14ac:dyDescent="0.25">
      <c r="B48" s="1">
        <f t="shared" si="0"/>
        <v>43467</v>
      </c>
      <c r="C48" s="7">
        <f t="shared" ref="C48:C76" si="1">H8</f>
        <v>1000</v>
      </c>
    </row>
    <row r="49" spans="2:3" x14ac:dyDescent="0.25">
      <c r="B49" s="1">
        <f t="shared" si="0"/>
        <v>43468</v>
      </c>
      <c r="C49" s="7">
        <f t="shared" si="1"/>
        <v>1000</v>
      </c>
    </row>
    <row r="50" spans="2:3" x14ac:dyDescent="0.25">
      <c r="B50" s="1">
        <f t="shared" si="0"/>
        <v>43469</v>
      </c>
      <c r="C50" s="7">
        <f t="shared" si="1"/>
        <v>1000</v>
      </c>
    </row>
    <row r="51" spans="2:3" x14ac:dyDescent="0.25">
      <c r="B51" s="1">
        <f t="shared" si="0"/>
        <v>43470</v>
      </c>
      <c r="C51" s="7">
        <f t="shared" si="1"/>
        <v>1000</v>
      </c>
    </row>
    <row r="52" spans="2:3" x14ac:dyDescent="0.25">
      <c r="B52" s="1">
        <f t="shared" si="0"/>
        <v>43471</v>
      </c>
      <c r="C52" s="7">
        <f t="shared" si="1"/>
        <v>1000</v>
      </c>
    </row>
    <row r="53" spans="2:3" x14ac:dyDescent="0.25">
      <c r="B53" s="1">
        <f t="shared" si="0"/>
        <v>43472</v>
      </c>
      <c r="C53" s="7">
        <f t="shared" si="1"/>
        <v>1000</v>
      </c>
    </row>
    <row r="54" spans="2:3" x14ac:dyDescent="0.25">
      <c r="B54" s="1">
        <f t="shared" si="0"/>
        <v>43473</v>
      </c>
      <c r="C54" s="7">
        <f t="shared" si="1"/>
        <v>1000</v>
      </c>
    </row>
    <row r="55" spans="2:3" x14ac:dyDescent="0.25">
      <c r="B55" s="1">
        <f t="shared" si="0"/>
        <v>43474</v>
      </c>
      <c r="C55" s="7">
        <f t="shared" si="1"/>
        <v>1000</v>
      </c>
    </row>
    <row r="56" spans="2:3" x14ac:dyDescent="0.25">
      <c r="B56" s="1">
        <f t="shared" si="0"/>
        <v>43475</v>
      </c>
      <c r="C56" s="7">
        <f t="shared" si="1"/>
        <v>1000</v>
      </c>
    </row>
    <row r="57" spans="2:3" x14ac:dyDescent="0.25">
      <c r="B57" s="1">
        <f t="shared" si="0"/>
        <v>43476</v>
      </c>
      <c r="C57" s="7">
        <f t="shared" si="1"/>
        <v>1121</v>
      </c>
    </row>
    <row r="58" spans="2:3" x14ac:dyDescent="0.25">
      <c r="B58" s="1">
        <f t="shared" si="0"/>
        <v>43477</v>
      </c>
      <c r="C58" s="7">
        <f t="shared" si="1"/>
        <v>1121</v>
      </c>
    </row>
    <row r="59" spans="2:3" x14ac:dyDescent="0.25">
      <c r="B59" s="1">
        <f t="shared" si="0"/>
        <v>43478</v>
      </c>
      <c r="C59" s="7">
        <f t="shared" si="1"/>
        <v>1121</v>
      </c>
    </row>
    <row r="60" spans="2:3" x14ac:dyDescent="0.25">
      <c r="B60" s="1">
        <f t="shared" si="0"/>
        <v>43479</v>
      </c>
      <c r="C60" s="7">
        <f t="shared" si="1"/>
        <v>1121</v>
      </c>
    </row>
    <row r="61" spans="2:3" x14ac:dyDescent="0.25">
      <c r="B61" s="1">
        <f t="shared" si="0"/>
        <v>43480</v>
      </c>
      <c r="C61" s="7">
        <f t="shared" si="1"/>
        <v>1121</v>
      </c>
    </row>
    <row r="62" spans="2:3" x14ac:dyDescent="0.25">
      <c r="B62" s="1">
        <f t="shared" si="0"/>
        <v>43481</v>
      </c>
      <c r="C62" s="7">
        <f t="shared" si="1"/>
        <v>1121</v>
      </c>
    </row>
    <row r="63" spans="2:3" x14ac:dyDescent="0.25">
      <c r="B63" s="1">
        <f t="shared" si="0"/>
        <v>43482</v>
      </c>
      <c r="C63" s="7">
        <f t="shared" si="1"/>
        <v>1121</v>
      </c>
    </row>
    <row r="64" spans="2:3" x14ac:dyDescent="0.25">
      <c r="B64" s="1">
        <f t="shared" si="0"/>
        <v>43483</v>
      </c>
      <c r="C64" s="7">
        <f t="shared" si="1"/>
        <v>1121</v>
      </c>
    </row>
    <row r="65" spans="2:3" x14ac:dyDescent="0.25">
      <c r="B65" s="1">
        <f t="shared" si="0"/>
        <v>43484</v>
      </c>
      <c r="C65" s="7">
        <f t="shared" si="1"/>
        <v>1121</v>
      </c>
    </row>
    <row r="66" spans="2:3" x14ac:dyDescent="0.25">
      <c r="B66" s="1">
        <f t="shared" si="0"/>
        <v>43485</v>
      </c>
      <c r="C66" s="7">
        <f t="shared" si="1"/>
        <v>1121</v>
      </c>
    </row>
    <row r="67" spans="2:3" x14ac:dyDescent="0.25">
      <c r="B67" s="1">
        <f t="shared" si="0"/>
        <v>43486</v>
      </c>
      <c r="C67" s="7">
        <f t="shared" si="1"/>
        <v>1121</v>
      </c>
    </row>
    <row r="68" spans="2:3" x14ac:dyDescent="0.25">
      <c r="B68" s="1">
        <f t="shared" si="0"/>
        <v>43487</v>
      </c>
      <c r="C68" s="7">
        <f t="shared" si="1"/>
        <v>1121</v>
      </c>
    </row>
    <row r="69" spans="2:3" x14ac:dyDescent="0.25">
      <c r="B69" s="1">
        <f t="shared" si="0"/>
        <v>43488</v>
      </c>
      <c r="C69" s="7">
        <f t="shared" si="1"/>
        <v>1121</v>
      </c>
    </row>
    <row r="70" spans="2:3" x14ac:dyDescent="0.25">
      <c r="B70" s="1">
        <f t="shared" si="0"/>
        <v>43489</v>
      </c>
      <c r="C70" s="7">
        <f t="shared" si="1"/>
        <v>1121</v>
      </c>
    </row>
    <row r="71" spans="2:3" x14ac:dyDescent="0.25">
      <c r="B71" s="1">
        <f t="shared" si="0"/>
        <v>43490</v>
      </c>
      <c r="C71" s="7">
        <f t="shared" si="1"/>
        <v>1121</v>
      </c>
    </row>
    <row r="72" spans="2:3" x14ac:dyDescent="0.25">
      <c r="B72" s="1">
        <f t="shared" si="0"/>
        <v>43491</v>
      </c>
      <c r="C72" s="7">
        <f t="shared" si="1"/>
        <v>1121</v>
      </c>
    </row>
    <row r="73" spans="2:3" x14ac:dyDescent="0.25">
      <c r="B73" s="1">
        <f t="shared" si="0"/>
        <v>43492</v>
      </c>
      <c r="C73" s="7">
        <f t="shared" si="1"/>
        <v>1121</v>
      </c>
    </row>
    <row r="74" spans="2:3" x14ac:dyDescent="0.25">
      <c r="B74" s="1">
        <f t="shared" si="0"/>
        <v>43493</v>
      </c>
      <c r="C74" s="7">
        <f t="shared" si="1"/>
        <v>1121</v>
      </c>
    </row>
    <row r="75" spans="2:3" x14ac:dyDescent="0.25">
      <c r="B75" s="1">
        <f t="shared" si="0"/>
        <v>43494</v>
      </c>
      <c r="C75" s="7">
        <f t="shared" si="1"/>
        <v>1121</v>
      </c>
    </row>
    <row r="76" spans="2:3" x14ac:dyDescent="0.25">
      <c r="B76" s="1">
        <f t="shared" si="0"/>
        <v>43495</v>
      </c>
      <c r="C76" s="7">
        <f t="shared" si="1"/>
        <v>1121</v>
      </c>
    </row>
    <row r="77" spans="2:3" x14ac:dyDescent="0.25">
      <c r="B77" s="1">
        <f t="shared" ref="B77:B104" si="2">L7</f>
        <v>43497</v>
      </c>
      <c r="C77" s="7">
        <f>O7</f>
        <v>1121</v>
      </c>
    </row>
    <row r="78" spans="2:3" x14ac:dyDescent="0.25">
      <c r="B78" s="1">
        <f t="shared" si="2"/>
        <v>43498</v>
      </c>
      <c r="C78" s="7">
        <f t="shared" ref="C78:C104" si="3">O8</f>
        <v>1121</v>
      </c>
    </row>
    <row r="79" spans="2:3" x14ac:dyDescent="0.25">
      <c r="B79" s="1">
        <f t="shared" si="2"/>
        <v>43499</v>
      </c>
      <c r="C79" s="7">
        <f t="shared" si="3"/>
        <v>1121</v>
      </c>
    </row>
    <row r="80" spans="2:3" x14ac:dyDescent="0.25">
      <c r="B80" s="1">
        <f t="shared" si="2"/>
        <v>43500</v>
      </c>
      <c r="C80" s="7">
        <f t="shared" si="3"/>
        <v>1121</v>
      </c>
    </row>
    <row r="81" spans="2:3" x14ac:dyDescent="0.25">
      <c r="B81" s="1">
        <f t="shared" si="2"/>
        <v>43501</v>
      </c>
      <c r="C81" s="7">
        <f t="shared" si="3"/>
        <v>1121</v>
      </c>
    </row>
    <row r="82" spans="2:3" x14ac:dyDescent="0.25">
      <c r="B82" s="1">
        <f t="shared" si="2"/>
        <v>43502</v>
      </c>
      <c r="C82" s="7">
        <f t="shared" si="3"/>
        <v>1121</v>
      </c>
    </row>
    <row r="83" spans="2:3" x14ac:dyDescent="0.25">
      <c r="B83" s="1">
        <f t="shared" si="2"/>
        <v>43503</v>
      </c>
      <c r="C83" s="7">
        <f t="shared" si="3"/>
        <v>1121</v>
      </c>
    </row>
    <row r="84" spans="2:3" x14ac:dyDescent="0.25">
      <c r="B84" s="1">
        <f t="shared" si="2"/>
        <v>43504</v>
      </c>
      <c r="C84" s="7">
        <f t="shared" si="3"/>
        <v>1121</v>
      </c>
    </row>
    <row r="85" spans="2:3" x14ac:dyDescent="0.25">
      <c r="B85" s="1">
        <f t="shared" si="2"/>
        <v>43505</v>
      </c>
      <c r="C85" s="7">
        <f t="shared" si="3"/>
        <v>1121</v>
      </c>
    </row>
    <row r="86" spans="2:3" x14ac:dyDescent="0.25">
      <c r="B86" s="1">
        <f t="shared" si="2"/>
        <v>43506</v>
      </c>
      <c r="C86" s="7">
        <f t="shared" si="3"/>
        <v>1121</v>
      </c>
    </row>
    <row r="87" spans="2:3" x14ac:dyDescent="0.25">
      <c r="B87" s="1">
        <f t="shared" si="2"/>
        <v>43507</v>
      </c>
      <c r="C87" s="7">
        <f t="shared" si="3"/>
        <v>1121</v>
      </c>
    </row>
    <row r="88" spans="2:3" x14ac:dyDescent="0.25">
      <c r="B88" s="1">
        <f t="shared" si="2"/>
        <v>43508</v>
      </c>
      <c r="C88" s="7">
        <f t="shared" si="3"/>
        <v>1121</v>
      </c>
    </row>
    <row r="89" spans="2:3" x14ac:dyDescent="0.25">
      <c r="B89" s="1">
        <f t="shared" si="2"/>
        <v>43509</v>
      </c>
      <c r="C89" s="7">
        <f t="shared" si="3"/>
        <v>1121</v>
      </c>
    </row>
    <row r="90" spans="2:3" x14ac:dyDescent="0.25">
      <c r="B90" s="1">
        <f t="shared" si="2"/>
        <v>43510</v>
      </c>
      <c r="C90" s="7">
        <f t="shared" si="3"/>
        <v>1121</v>
      </c>
    </row>
    <row r="91" spans="2:3" x14ac:dyDescent="0.25">
      <c r="B91" s="1">
        <f t="shared" si="2"/>
        <v>43511</v>
      </c>
      <c r="C91" s="7">
        <f t="shared" si="3"/>
        <v>1121</v>
      </c>
    </row>
    <row r="92" spans="2:3" x14ac:dyDescent="0.25">
      <c r="B92" s="1">
        <f t="shared" si="2"/>
        <v>43512</v>
      </c>
      <c r="C92" s="7">
        <f t="shared" si="3"/>
        <v>1121</v>
      </c>
    </row>
    <row r="93" spans="2:3" x14ac:dyDescent="0.25">
      <c r="B93" s="1">
        <f t="shared" si="2"/>
        <v>43513</v>
      </c>
      <c r="C93" s="7">
        <f t="shared" si="3"/>
        <v>1121</v>
      </c>
    </row>
    <row r="94" spans="2:3" x14ac:dyDescent="0.25">
      <c r="B94" s="1">
        <f t="shared" si="2"/>
        <v>43514</v>
      </c>
      <c r="C94" s="7">
        <f t="shared" si="3"/>
        <v>1121</v>
      </c>
    </row>
    <row r="95" spans="2:3" x14ac:dyDescent="0.25">
      <c r="B95" s="1">
        <f t="shared" si="2"/>
        <v>43515</v>
      </c>
      <c r="C95" s="7">
        <f t="shared" si="3"/>
        <v>1121</v>
      </c>
    </row>
    <row r="96" spans="2:3" x14ac:dyDescent="0.25">
      <c r="B96" s="1">
        <f t="shared" si="2"/>
        <v>43516</v>
      </c>
      <c r="C96" s="7">
        <f t="shared" si="3"/>
        <v>1121</v>
      </c>
    </row>
    <row r="97" spans="2:3" x14ac:dyDescent="0.25">
      <c r="B97" s="1">
        <f t="shared" si="2"/>
        <v>43517</v>
      </c>
      <c r="C97" s="7">
        <f t="shared" si="3"/>
        <v>1121</v>
      </c>
    </row>
    <row r="98" spans="2:3" x14ac:dyDescent="0.25">
      <c r="B98" s="1">
        <f t="shared" si="2"/>
        <v>43518</v>
      </c>
      <c r="C98" s="7">
        <f t="shared" si="3"/>
        <v>1121</v>
      </c>
    </row>
    <row r="99" spans="2:3" x14ac:dyDescent="0.25">
      <c r="B99" s="1">
        <f t="shared" si="2"/>
        <v>43519</v>
      </c>
      <c r="C99" s="7">
        <f t="shared" si="3"/>
        <v>1121</v>
      </c>
    </row>
    <row r="100" spans="2:3" x14ac:dyDescent="0.25">
      <c r="B100" s="1">
        <f t="shared" si="2"/>
        <v>43520</v>
      </c>
      <c r="C100" s="7">
        <f t="shared" si="3"/>
        <v>1121</v>
      </c>
    </row>
    <row r="101" spans="2:3" x14ac:dyDescent="0.25">
      <c r="B101" s="1">
        <f t="shared" si="2"/>
        <v>43521</v>
      </c>
      <c r="C101" s="7">
        <f t="shared" si="3"/>
        <v>1121</v>
      </c>
    </row>
    <row r="102" spans="2:3" x14ac:dyDescent="0.25">
      <c r="B102" s="1">
        <f t="shared" si="2"/>
        <v>43522</v>
      </c>
      <c r="C102" s="7">
        <f t="shared" si="3"/>
        <v>1121</v>
      </c>
    </row>
    <row r="103" spans="2:3" x14ac:dyDescent="0.25">
      <c r="B103" s="1">
        <f t="shared" si="2"/>
        <v>43523</v>
      </c>
      <c r="C103" s="7">
        <f t="shared" si="3"/>
        <v>1121</v>
      </c>
    </row>
    <row r="104" spans="2:3" x14ac:dyDescent="0.25">
      <c r="B104" s="1">
        <f t="shared" si="2"/>
        <v>43524</v>
      </c>
      <c r="C104" s="7">
        <f t="shared" si="3"/>
        <v>1121</v>
      </c>
    </row>
    <row r="105" spans="2:3" x14ac:dyDescent="0.25">
      <c r="B105" s="1">
        <f t="shared" ref="B105:B135" si="4">S7</f>
        <v>43525</v>
      </c>
      <c r="C105" s="7">
        <f>V7</f>
        <v>1121</v>
      </c>
    </row>
    <row r="106" spans="2:3" x14ac:dyDescent="0.25">
      <c r="B106" s="1">
        <f t="shared" si="4"/>
        <v>43526</v>
      </c>
      <c r="C106" s="7">
        <f t="shared" ref="C106:C135" si="5">V8</f>
        <v>1121</v>
      </c>
    </row>
    <row r="107" spans="2:3" x14ac:dyDescent="0.25">
      <c r="B107" s="1">
        <f t="shared" si="4"/>
        <v>43527</v>
      </c>
      <c r="C107" s="7">
        <f t="shared" si="5"/>
        <v>1121</v>
      </c>
    </row>
    <row r="108" spans="2:3" x14ac:dyDescent="0.25">
      <c r="B108" s="1">
        <f t="shared" si="4"/>
        <v>43528</v>
      </c>
      <c r="C108" s="7">
        <f t="shared" si="5"/>
        <v>1121</v>
      </c>
    </row>
    <row r="109" spans="2:3" x14ac:dyDescent="0.25">
      <c r="B109" s="1">
        <f t="shared" si="4"/>
        <v>43529</v>
      </c>
      <c r="C109" s="7">
        <f t="shared" si="5"/>
        <v>1121</v>
      </c>
    </row>
    <row r="110" spans="2:3" x14ac:dyDescent="0.25">
      <c r="B110" s="1">
        <f t="shared" si="4"/>
        <v>43530</v>
      </c>
      <c r="C110" s="7">
        <f t="shared" si="5"/>
        <v>1121</v>
      </c>
    </row>
    <row r="111" spans="2:3" x14ac:dyDescent="0.25">
      <c r="B111" s="1">
        <f t="shared" si="4"/>
        <v>43531</v>
      </c>
      <c r="C111" s="7">
        <f t="shared" si="5"/>
        <v>1121</v>
      </c>
    </row>
    <row r="112" spans="2:3" x14ac:dyDescent="0.25">
      <c r="B112" s="1">
        <f t="shared" si="4"/>
        <v>43532</v>
      </c>
      <c r="C112" s="7">
        <f t="shared" si="5"/>
        <v>1121</v>
      </c>
    </row>
    <row r="113" spans="2:3" x14ac:dyDescent="0.25">
      <c r="B113" s="1">
        <f t="shared" si="4"/>
        <v>43533</v>
      </c>
      <c r="C113" s="7">
        <f t="shared" si="5"/>
        <v>1121</v>
      </c>
    </row>
    <row r="114" spans="2:3" x14ac:dyDescent="0.25">
      <c r="B114" s="1">
        <f t="shared" si="4"/>
        <v>43534</v>
      </c>
      <c r="C114" s="7">
        <f t="shared" si="5"/>
        <v>1121</v>
      </c>
    </row>
    <row r="115" spans="2:3" x14ac:dyDescent="0.25">
      <c r="B115" s="1">
        <f t="shared" si="4"/>
        <v>43535</v>
      </c>
      <c r="C115" s="7">
        <f t="shared" si="5"/>
        <v>1121</v>
      </c>
    </row>
    <row r="116" spans="2:3" x14ac:dyDescent="0.25">
      <c r="B116" s="1">
        <f t="shared" si="4"/>
        <v>43536</v>
      </c>
      <c r="C116" s="7">
        <f t="shared" si="5"/>
        <v>1121</v>
      </c>
    </row>
    <row r="117" spans="2:3" x14ac:dyDescent="0.25">
      <c r="B117" s="1">
        <f t="shared" si="4"/>
        <v>43537</v>
      </c>
      <c r="C117" s="7">
        <f t="shared" si="5"/>
        <v>1121</v>
      </c>
    </row>
    <row r="118" spans="2:3" x14ac:dyDescent="0.25">
      <c r="B118" s="1">
        <f t="shared" si="4"/>
        <v>43538</v>
      </c>
      <c r="C118" s="7">
        <f t="shared" si="5"/>
        <v>1121</v>
      </c>
    </row>
    <row r="119" spans="2:3" x14ac:dyDescent="0.25">
      <c r="B119" s="1">
        <f t="shared" si="4"/>
        <v>43539</v>
      </c>
      <c r="C119" s="7">
        <f t="shared" si="5"/>
        <v>1121</v>
      </c>
    </row>
    <row r="120" spans="2:3" x14ac:dyDescent="0.25">
      <c r="B120" s="1">
        <f t="shared" si="4"/>
        <v>43540</v>
      </c>
      <c r="C120" s="7">
        <f t="shared" si="5"/>
        <v>1121</v>
      </c>
    </row>
    <row r="121" spans="2:3" x14ac:dyDescent="0.25">
      <c r="B121" s="1">
        <f t="shared" si="4"/>
        <v>43541</v>
      </c>
      <c r="C121" s="7">
        <f t="shared" si="5"/>
        <v>1121</v>
      </c>
    </row>
    <row r="122" spans="2:3" x14ac:dyDescent="0.25">
      <c r="B122" s="1">
        <f t="shared" si="4"/>
        <v>43542</v>
      </c>
      <c r="C122" s="7">
        <f t="shared" si="5"/>
        <v>1121</v>
      </c>
    </row>
    <row r="123" spans="2:3" x14ac:dyDescent="0.25">
      <c r="B123" s="1">
        <f t="shared" si="4"/>
        <v>43543</v>
      </c>
      <c r="C123" s="7">
        <f t="shared" si="5"/>
        <v>1121</v>
      </c>
    </row>
    <row r="124" spans="2:3" x14ac:dyDescent="0.25">
      <c r="B124" s="1">
        <f t="shared" si="4"/>
        <v>43544</v>
      </c>
      <c r="C124" s="7">
        <f t="shared" si="5"/>
        <v>1121</v>
      </c>
    </row>
    <row r="125" spans="2:3" x14ac:dyDescent="0.25">
      <c r="B125" s="1">
        <f t="shared" si="4"/>
        <v>43545</v>
      </c>
      <c r="C125" s="7">
        <f t="shared" si="5"/>
        <v>1121</v>
      </c>
    </row>
    <row r="126" spans="2:3" x14ac:dyDescent="0.25">
      <c r="B126" s="1">
        <f t="shared" si="4"/>
        <v>43546</v>
      </c>
      <c r="C126" s="7">
        <f t="shared" si="5"/>
        <v>1121</v>
      </c>
    </row>
    <row r="127" spans="2:3" x14ac:dyDescent="0.25">
      <c r="B127" s="1">
        <f t="shared" si="4"/>
        <v>43547</v>
      </c>
      <c r="C127" s="7">
        <f t="shared" si="5"/>
        <v>1121</v>
      </c>
    </row>
    <row r="128" spans="2:3" x14ac:dyDescent="0.25">
      <c r="B128" s="1">
        <f t="shared" si="4"/>
        <v>43548</v>
      </c>
      <c r="C128" s="7">
        <f t="shared" si="5"/>
        <v>1121</v>
      </c>
    </row>
    <row r="129" spans="2:3" x14ac:dyDescent="0.25">
      <c r="B129" s="1">
        <f t="shared" si="4"/>
        <v>43549</v>
      </c>
      <c r="C129" s="7">
        <f t="shared" si="5"/>
        <v>1121</v>
      </c>
    </row>
    <row r="130" spans="2:3" x14ac:dyDescent="0.25">
      <c r="B130" s="1">
        <f t="shared" si="4"/>
        <v>43550</v>
      </c>
      <c r="C130" s="7">
        <f t="shared" si="5"/>
        <v>1121</v>
      </c>
    </row>
    <row r="131" spans="2:3" x14ac:dyDescent="0.25">
      <c r="B131" s="1">
        <f t="shared" si="4"/>
        <v>43551</v>
      </c>
      <c r="C131" s="7">
        <f t="shared" si="5"/>
        <v>1121</v>
      </c>
    </row>
    <row r="132" spans="2:3" x14ac:dyDescent="0.25">
      <c r="B132" s="1">
        <f t="shared" si="4"/>
        <v>43552</v>
      </c>
      <c r="C132" s="7">
        <f t="shared" si="5"/>
        <v>1121</v>
      </c>
    </row>
    <row r="133" spans="2:3" x14ac:dyDescent="0.25">
      <c r="B133" s="1">
        <f t="shared" si="4"/>
        <v>43553</v>
      </c>
      <c r="C133" s="7">
        <f t="shared" si="5"/>
        <v>1121</v>
      </c>
    </row>
    <row r="134" spans="2:3" x14ac:dyDescent="0.25">
      <c r="B134" s="1">
        <f t="shared" si="4"/>
        <v>43554</v>
      </c>
      <c r="C134" s="7">
        <f t="shared" si="5"/>
        <v>1121</v>
      </c>
    </row>
    <row r="135" spans="2:3" x14ac:dyDescent="0.25">
      <c r="B135" s="1">
        <f t="shared" si="4"/>
        <v>43555</v>
      </c>
      <c r="C135" s="7">
        <f t="shared" si="5"/>
        <v>1121</v>
      </c>
    </row>
    <row r="136" spans="2:3" x14ac:dyDescent="0.25">
      <c r="B136" s="1">
        <f t="shared" ref="B136:B165" si="6">Z7</f>
        <v>43556</v>
      </c>
      <c r="C136" s="7">
        <f t="shared" ref="C136:C165" si="7">AC8</f>
        <v>1121</v>
      </c>
    </row>
    <row r="137" spans="2:3" x14ac:dyDescent="0.25">
      <c r="B137" s="1">
        <f t="shared" si="6"/>
        <v>43557</v>
      </c>
      <c r="C137" s="7">
        <f t="shared" si="7"/>
        <v>1121</v>
      </c>
    </row>
    <row r="138" spans="2:3" x14ac:dyDescent="0.25">
      <c r="B138" s="1">
        <f t="shared" si="6"/>
        <v>43558</v>
      </c>
      <c r="C138" s="7">
        <f t="shared" si="7"/>
        <v>1121</v>
      </c>
    </row>
    <row r="139" spans="2:3" x14ac:dyDescent="0.25">
      <c r="B139" s="1">
        <f t="shared" si="6"/>
        <v>43559</v>
      </c>
      <c r="C139" s="7">
        <f t="shared" si="7"/>
        <v>1121</v>
      </c>
    </row>
    <row r="140" spans="2:3" x14ac:dyDescent="0.25">
      <c r="B140" s="1">
        <f t="shared" si="6"/>
        <v>43560</v>
      </c>
      <c r="C140" s="7">
        <f t="shared" si="7"/>
        <v>1121</v>
      </c>
    </row>
    <row r="141" spans="2:3" x14ac:dyDescent="0.25">
      <c r="B141" s="1">
        <f t="shared" si="6"/>
        <v>43561</v>
      </c>
      <c r="C141" s="7">
        <f t="shared" si="7"/>
        <v>1121</v>
      </c>
    </row>
    <row r="142" spans="2:3" x14ac:dyDescent="0.25">
      <c r="B142" s="1">
        <f t="shared" si="6"/>
        <v>43562</v>
      </c>
      <c r="C142" s="7">
        <f t="shared" si="7"/>
        <v>1121</v>
      </c>
    </row>
    <row r="143" spans="2:3" x14ac:dyDescent="0.25">
      <c r="B143" s="1">
        <f t="shared" si="6"/>
        <v>43563</v>
      </c>
      <c r="C143" s="7">
        <f t="shared" si="7"/>
        <v>1121</v>
      </c>
    </row>
    <row r="144" spans="2:3" x14ac:dyDescent="0.25">
      <c r="B144" s="1">
        <f t="shared" si="6"/>
        <v>43564</v>
      </c>
      <c r="C144" s="7">
        <f t="shared" si="7"/>
        <v>1121</v>
      </c>
    </row>
    <row r="145" spans="2:3" x14ac:dyDescent="0.25">
      <c r="B145" s="1">
        <f t="shared" si="6"/>
        <v>43565</v>
      </c>
      <c r="C145" s="7">
        <f t="shared" si="7"/>
        <v>1121</v>
      </c>
    </row>
    <row r="146" spans="2:3" x14ac:dyDescent="0.25">
      <c r="B146" s="1">
        <f t="shared" si="6"/>
        <v>43566</v>
      </c>
      <c r="C146" s="7">
        <f t="shared" si="7"/>
        <v>1121</v>
      </c>
    </row>
    <row r="147" spans="2:3" x14ac:dyDescent="0.25">
      <c r="B147" s="1">
        <f t="shared" si="6"/>
        <v>43567</v>
      </c>
      <c r="C147" s="7">
        <f t="shared" si="7"/>
        <v>1121</v>
      </c>
    </row>
    <row r="148" spans="2:3" x14ac:dyDescent="0.25">
      <c r="B148" s="1">
        <f t="shared" si="6"/>
        <v>43568</v>
      </c>
      <c r="C148" s="7">
        <f t="shared" si="7"/>
        <v>1121</v>
      </c>
    </row>
    <row r="149" spans="2:3" x14ac:dyDescent="0.25">
      <c r="B149" s="1">
        <f t="shared" si="6"/>
        <v>43569</v>
      </c>
      <c r="C149" s="7">
        <f t="shared" si="7"/>
        <v>1121</v>
      </c>
    </row>
    <row r="150" spans="2:3" x14ac:dyDescent="0.25">
      <c r="B150" s="1">
        <f t="shared" si="6"/>
        <v>43570</v>
      </c>
      <c r="C150" s="7">
        <f t="shared" si="7"/>
        <v>1121</v>
      </c>
    </row>
    <row r="151" spans="2:3" x14ac:dyDescent="0.25">
      <c r="B151" s="1">
        <f t="shared" si="6"/>
        <v>43571</v>
      </c>
      <c r="C151" s="7">
        <f t="shared" si="7"/>
        <v>1121</v>
      </c>
    </row>
    <row r="152" spans="2:3" x14ac:dyDescent="0.25">
      <c r="B152" s="1">
        <f t="shared" si="6"/>
        <v>43572</v>
      </c>
      <c r="C152" s="7">
        <f t="shared" si="7"/>
        <v>1121</v>
      </c>
    </row>
    <row r="153" spans="2:3" x14ac:dyDescent="0.25">
      <c r="B153" s="1">
        <f t="shared" si="6"/>
        <v>43573</v>
      </c>
      <c r="C153" s="7">
        <f t="shared" si="7"/>
        <v>1121</v>
      </c>
    </row>
    <row r="154" spans="2:3" x14ac:dyDescent="0.25">
      <c r="B154" s="1">
        <f t="shared" si="6"/>
        <v>43574</v>
      </c>
      <c r="C154" s="7">
        <f t="shared" si="7"/>
        <v>1121</v>
      </c>
    </row>
    <row r="155" spans="2:3" x14ac:dyDescent="0.25">
      <c r="B155" s="1">
        <f t="shared" si="6"/>
        <v>43575</v>
      </c>
      <c r="C155" s="7">
        <f t="shared" si="7"/>
        <v>1121</v>
      </c>
    </row>
    <row r="156" spans="2:3" x14ac:dyDescent="0.25">
      <c r="B156" s="1">
        <f t="shared" si="6"/>
        <v>43576</v>
      </c>
      <c r="C156" s="7">
        <f t="shared" si="7"/>
        <v>1121</v>
      </c>
    </row>
    <row r="157" spans="2:3" x14ac:dyDescent="0.25">
      <c r="B157" s="1">
        <f t="shared" si="6"/>
        <v>43577</v>
      </c>
      <c r="C157" s="7">
        <f t="shared" si="7"/>
        <v>1121</v>
      </c>
    </row>
    <row r="158" spans="2:3" x14ac:dyDescent="0.25">
      <c r="B158" s="1">
        <f t="shared" si="6"/>
        <v>43578</v>
      </c>
      <c r="C158" s="7">
        <f t="shared" si="7"/>
        <v>1121</v>
      </c>
    </row>
    <row r="159" spans="2:3" x14ac:dyDescent="0.25">
      <c r="B159" s="1">
        <f t="shared" si="6"/>
        <v>43579</v>
      </c>
      <c r="C159" s="7">
        <f t="shared" si="7"/>
        <v>1121</v>
      </c>
    </row>
    <row r="160" spans="2:3" x14ac:dyDescent="0.25">
      <c r="B160" s="1">
        <f t="shared" si="6"/>
        <v>43580</v>
      </c>
      <c r="C160" s="7">
        <f t="shared" si="7"/>
        <v>1121</v>
      </c>
    </row>
    <row r="161" spans="2:3" x14ac:dyDescent="0.25">
      <c r="B161" s="1">
        <f t="shared" si="6"/>
        <v>43581</v>
      </c>
      <c r="C161" s="7">
        <f t="shared" si="7"/>
        <v>1121</v>
      </c>
    </row>
    <row r="162" spans="2:3" x14ac:dyDescent="0.25">
      <c r="B162" s="1">
        <f t="shared" si="6"/>
        <v>43582</v>
      </c>
      <c r="C162" s="7">
        <f t="shared" si="7"/>
        <v>1121</v>
      </c>
    </row>
    <row r="163" spans="2:3" x14ac:dyDescent="0.25">
      <c r="B163" s="1">
        <f t="shared" si="6"/>
        <v>43583</v>
      </c>
      <c r="C163" s="7">
        <f t="shared" si="7"/>
        <v>1121</v>
      </c>
    </row>
    <row r="164" spans="2:3" x14ac:dyDescent="0.25">
      <c r="B164" s="1">
        <f t="shared" si="6"/>
        <v>43584</v>
      </c>
      <c r="C164" s="7">
        <f t="shared" si="7"/>
        <v>1121</v>
      </c>
    </row>
    <row r="165" spans="2:3" x14ac:dyDescent="0.25">
      <c r="B165" s="1">
        <f t="shared" si="6"/>
        <v>43585</v>
      </c>
      <c r="C165" s="7">
        <f t="shared" si="7"/>
        <v>1121</v>
      </c>
    </row>
    <row r="166" spans="2:3" x14ac:dyDescent="0.25">
      <c r="B166" s="1">
        <f t="shared" ref="B166:B196" si="8">AG7</f>
        <v>43586</v>
      </c>
      <c r="C166" s="18">
        <f>AJ7</f>
        <v>1121</v>
      </c>
    </row>
    <row r="167" spans="2:3" x14ac:dyDescent="0.25">
      <c r="B167" s="1">
        <f t="shared" si="8"/>
        <v>43587</v>
      </c>
      <c r="C167" s="18">
        <f t="shared" ref="C167:C196" si="9">AJ8</f>
        <v>1121</v>
      </c>
    </row>
    <row r="168" spans="2:3" x14ac:dyDescent="0.25">
      <c r="B168" s="1">
        <f t="shared" si="8"/>
        <v>43588</v>
      </c>
      <c r="C168" s="18">
        <f t="shared" si="9"/>
        <v>1121</v>
      </c>
    </row>
    <row r="169" spans="2:3" x14ac:dyDescent="0.25">
      <c r="B169" s="1">
        <f t="shared" si="8"/>
        <v>43589</v>
      </c>
      <c r="C169" s="18">
        <f t="shared" si="9"/>
        <v>1121</v>
      </c>
    </row>
    <row r="170" spans="2:3" x14ac:dyDescent="0.25">
      <c r="B170" s="1">
        <f t="shared" si="8"/>
        <v>43590</v>
      </c>
      <c r="C170" s="18">
        <f t="shared" si="9"/>
        <v>1121</v>
      </c>
    </row>
    <row r="171" spans="2:3" x14ac:dyDescent="0.25">
      <c r="B171" s="1">
        <f t="shared" si="8"/>
        <v>43591</v>
      </c>
      <c r="C171" s="18">
        <f t="shared" si="9"/>
        <v>1121</v>
      </c>
    </row>
    <row r="172" spans="2:3" x14ac:dyDescent="0.25">
      <c r="B172" s="1">
        <f t="shared" si="8"/>
        <v>43592</v>
      </c>
      <c r="C172" s="18">
        <f t="shared" si="9"/>
        <v>1121</v>
      </c>
    </row>
    <row r="173" spans="2:3" x14ac:dyDescent="0.25">
      <c r="B173" s="1">
        <f t="shared" si="8"/>
        <v>43593</v>
      </c>
      <c r="C173" s="18">
        <f t="shared" si="9"/>
        <v>1121</v>
      </c>
    </row>
    <row r="174" spans="2:3" x14ac:dyDescent="0.25">
      <c r="B174" s="1">
        <f t="shared" si="8"/>
        <v>43594</v>
      </c>
      <c r="C174" s="18">
        <f t="shared" si="9"/>
        <v>1121</v>
      </c>
    </row>
    <row r="175" spans="2:3" x14ac:dyDescent="0.25">
      <c r="B175" s="1">
        <f t="shared" si="8"/>
        <v>43595</v>
      </c>
      <c r="C175" s="18">
        <f t="shared" si="9"/>
        <v>1121</v>
      </c>
    </row>
    <row r="176" spans="2:3" x14ac:dyDescent="0.25">
      <c r="B176" s="1">
        <f t="shared" si="8"/>
        <v>43596</v>
      </c>
      <c r="C176" s="18">
        <f t="shared" si="9"/>
        <v>1121</v>
      </c>
    </row>
    <row r="177" spans="2:3" x14ac:dyDescent="0.25">
      <c r="B177" s="1">
        <f t="shared" si="8"/>
        <v>43597</v>
      </c>
      <c r="C177" s="18">
        <f t="shared" si="9"/>
        <v>1121</v>
      </c>
    </row>
    <row r="178" spans="2:3" x14ac:dyDescent="0.25">
      <c r="B178" s="1">
        <f t="shared" si="8"/>
        <v>43598</v>
      </c>
      <c r="C178" s="18">
        <f t="shared" si="9"/>
        <v>1121</v>
      </c>
    </row>
    <row r="179" spans="2:3" x14ac:dyDescent="0.25">
      <c r="B179" s="1">
        <f t="shared" si="8"/>
        <v>43599</v>
      </c>
      <c r="C179" s="18">
        <f t="shared" si="9"/>
        <v>1121</v>
      </c>
    </row>
    <row r="180" spans="2:3" x14ac:dyDescent="0.25">
      <c r="B180" s="1">
        <f t="shared" si="8"/>
        <v>43600</v>
      </c>
      <c r="C180" s="18">
        <f t="shared" si="9"/>
        <v>1121</v>
      </c>
    </row>
    <row r="181" spans="2:3" x14ac:dyDescent="0.25">
      <c r="B181" s="1">
        <f t="shared" si="8"/>
        <v>43601</v>
      </c>
      <c r="C181" s="18">
        <f t="shared" si="9"/>
        <v>1121</v>
      </c>
    </row>
    <row r="182" spans="2:3" x14ac:dyDescent="0.25">
      <c r="B182" s="1">
        <f t="shared" si="8"/>
        <v>43602</v>
      </c>
      <c r="C182" s="18">
        <f t="shared" si="9"/>
        <v>1121</v>
      </c>
    </row>
    <row r="183" spans="2:3" x14ac:dyDescent="0.25">
      <c r="B183" s="1">
        <f t="shared" si="8"/>
        <v>43603</v>
      </c>
      <c r="C183" s="18">
        <f t="shared" si="9"/>
        <v>1121</v>
      </c>
    </row>
    <row r="184" spans="2:3" x14ac:dyDescent="0.25">
      <c r="B184" s="1">
        <f t="shared" si="8"/>
        <v>43604</v>
      </c>
      <c r="C184" s="18">
        <f t="shared" si="9"/>
        <v>1121</v>
      </c>
    </row>
    <row r="185" spans="2:3" x14ac:dyDescent="0.25">
      <c r="B185" s="1">
        <f t="shared" si="8"/>
        <v>43605</v>
      </c>
      <c r="C185" s="18">
        <f t="shared" si="9"/>
        <v>1121</v>
      </c>
    </row>
    <row r="186" spans="2:3" x14ac:dyDescent="0.25">
      <c r="B186" s="1">
        <f t="shared" si="8"/>
        <v>43606</v>
      </c>
      <c r="C186" s="18">
        <f t="shared" si="9"/>
        <v>1121</v>
      </c>
    </row>
    <row r="187" spans="2:3" x14ac:dyDescent="0.25">
      <c r="B187" s="1">
        <f t="shared" si="8"/>
        <v>43607</v>
      </c>
      <c r="C187" s="18">
        <f>AJ28</f>
        <v>1121</v>
      </c>
    </row>
    <row r="188" spans="2:3" x14ac:dyDescent="0.25">
      <c r="B188" s="1">
        <f t="shared" si="8"/>
        <v>43608</v>
      </c>
      <c r="C188" s="18">
        <f t="shared" si="9"/>
        <v>1121</v>
      </c>
    </row>
    <row r="189" spans="2:3" x14ac:dyDescent="0.25">
      <c r="B189" s="1">
        <f t="shared" si="8"/>
        <v>43609</v>
      </c>
      <c r="C189" s="18">
        <f t="shared" si="9"/>
        <v>1121</v>
      </c>
    </row>
    <row r="190" spans="2:3" x14ac:dyDescent="0.25">
      <c r="B190" s="1">
        <f t="shared" si="8"/>
        <v>43610</v>
      </c>
      <c r="C190" s="18">
        <f>AJ31</f>
        <v>1121</v>
      </c>
    </row>
    <row r="191" spans="2:3" x14ac:dyDescent="0.25">
      <c r="B191" s="1">
        <f t="shared" si="8"/>
        <v>43611</v>
      </c>
      <c r="C191" s="18">
        <f t="shared" si="9"/>
        <v>1121</v>
      </c>
    </row>
    <row r="192" spans="2:3" x14ac:dyDescent="0.25">
      <c r="B192" s="1">
        <f t="shared" si="8"/>
        <v>43612</v>
      </c>
      <c r="C192" s="18">
        <f t="shared" si="9"/>
        <v>1121</v>
      </c>
    </row>
    <row r="193" spans="2:3" x14ac:dyDescent="0.25">
      <c r="B193" s="1">
        <f t="shared" si="8"/>
        <v>43613</v>
      </c>
      <c r="C193" s="18">
        <f t="shared" si="9"/>
        <v>1121</v>
      </c>
    </row>
    <row r="194" spans="2:3" x14ac:dyDescent="0.25">
      <c r="B194" s="1">
        <f t="shared" si="8"/>
        <v>43614</v>
      </c>
      <c r="C194" s="18">
        <f t="shared" si="9"/>
        <v>1121</v>
      </c>
    </row>
    <row r="195" spans="2:3" x14ac:dyDescent="0.25">
      <c r="B195" s="1">
        <f t="shared" si="8"/>
        <v>43615</v>
      </c>
      <c r="C195" s="18">
        <f t="shared" si="9"/>
        <v>1121</v>
      </c>
    </row>
    <row r="196" spans="2:3" x14ac:dyDescent="0.25">
      <c r="B196" s="1">
        <f t="shared" si="8"/>
        <v>43616</v>
      </c>
      <c r="C196" s="18">
        <f t="shared" si="9"/>
        <v>1121</v>
      </c>
    </row>
    <row r="197" spans="2:3" x14ac:dyDescent="0.25">
      <c r="B197" s="1">
        <f t="shared" ref="B197:B226" si="10">AN7</f>
        <v>43617</v>
      </c>
      <c r="C197" s="18">
        <f>AQ7</f>
        <v>1121</v>
      </c>
    </row>
    <row r="198" spans="2:3" x14ac:dyDescent="0.25">
      <c r="B198" s="1">
        <f t="shared" si="10"/>
        <v>43618</v>
      </c>
      <c r="C198" s="18">
        <f t="shared" ref="C198:C226" si="11">AQ8</f>
        <v>1121</v>
      </c>
    </row>
    <row r="199" spans="2:3" x14ac:dyDescent="0.25">
      <c r="B199" s="1">
        <f t="shared" si="10"/>
        <v>43619</v>
      </c>
      <c r="C199" s="18">
        <f t="shared" si="11"/>
        <v>1121</v>
      </c>
    </row>
    <row r="200" spans="2:3" x14ac:dyDescent="0.25">
      <c r="B200" s="1">
        <f t="shared" si="10"/>
        <v>43620</v>
      </c>
      <c r="C200" s="18">
        <f t="shared" si="11"/>
        <v>1121</v>
      </c>
    </row>
    <row r="201" spans="2:3" x14ac:dyDescent="0.25">
      <c r="B201" s="1">
        <f t="shared" si="10"/>
        <v>43621</v>
      </c>
      <c r="C201" s="18">
        <f t="shared" si="11"/>
        <v>1121</v>
      </c>
    </row>
    <row r="202" spans="2:3" x14ac:dyDescent="0.25">
      <c r="B202" s="1">
        <f t="shared" si="10"/>
        <v>43622</v>
      </c>
      <c r="C202" s="18">
        <f t="shared" si="11"/>
        <v>1121</v>
      </c>
    </row>
    <row r="203" spans="2:3" x14ac:dyDescent="0.25">
      <c r="B203" s="1">
        <f t="shared" si="10"/>
        <v>43623</v>
      </c>
      <c r="C203" s="18">
        <f t="shared" si="11"/>
        <v>1121</v>
      </c>
    </row>
    <row r="204" spans="2:3" x14ac:dyDescent="0.25">
      <c r="B204" s="1">
        <f t="shared" si="10"/>
        <v>43624</v>
      </c>
      <c r="C204" s="18">
        <f t="shared" si="11"/>
        <v>1121</v>
      </c>
    </row>
    <row r="205" spans="2:3" x14ac:dyDescent="0.25">
      <c r="B205" s="1">
        <f t="shared" si="10"/>
        <v>43625</v>
      </c>
      <c r="C205" s="18">
        <f t="shared" si="11"/>
        <v>1121</v>
      </c>
    </row>
    <row r="206" spans="2:3" x14ac:dyDescent="0.25">
      <c r="B206" s="1">
        <f t="shared" si="10"/>
        <v>43626</v>
      </c>
      <c r="C206" s="18">
        <f t="shared" si="11"/>
        <v>1121</v>
      </c>
    </row>
    <row r="207" spans="2:3" x14ac:dyDescent="0.25">
      <c r="B207" s="1">
        <f t="shared" si="10"/>
        <v>43627</v>
      </c>
      <c r="C207" s="18">
        <f t="shared" si="11"/>
        <v>1121</v>
      </c>
    </row>
    <row r="208" spans="2:3" x14ac:dyDescent="0.25">
      <c r="B208" s="1">
        <f t="shared" si="10"/>
        <v>43628</v>
      </c>
      <c r="C208" s="18">
        <f t="shared" si="11"/>
        <v>1121</v>
      </c>
    </row>
    <row r="209" spans="2:3" x14ac:dyDescent="0.25">
      <c r="B209" s="1">
        <f t="shared" si="10"/>
        <v>43629</v>
      </c>
      <c r="C209" s="18">
        <f t="shared" si="11"/>
        <v>1121</v>
      </c>
    </row>
    <row r="210" spans="2:3" x14ac:dyDescent="0.25">
      <c r="B210" s="1">
        <f t="shared" si="10"/>
        <v>43630</v>
      </c>
      <c r="C210" s="18">
        <f t="shared" si="11"/>
        <v>1121</v>
      </c>
    </row>
    <row r="211" spans="2:3" x14ac:dyDescent="0.25">
      <c r="B211" s="1">
        <f t="shared" si="10"/>
        <v>43631</v>
      </c>
      <c r="C211" s="18">
        <f t="shared" si="11"/>
        <v>1121</v>
      </c>
    </row>
    <row r="212" spans="2:3" x14ac:dyDescent="0.25">
      <c r="B212" s="1">
        <f t="shared" si="10"/>
        <v>43632</v>
      </c>
      <c r="C212" s="18">
        <f t="shared" si="11"/>
        <v>1121</v>
      </c>
    </row>
    <row r="213" spans="2:3" x14ac:dyDescent="0.25">
      <c r="B213" s="1">
        <f t="shared" si="10"/>
        <v>43633</v>
      </c>
      <c r="C213" s="18">
        <f t="shared" si="11"/>
        <v>1121</v>
      </c>
    </row>
    <row r="214" spans="2:3" x14ac:dyDescent="0.25">
      <c r="B214" s="1">
        <f t="shared" si="10"/>
        <v>43634</v>
      </c>
      <c r="C214" s="18">
        <f t="shared" si="11"/>
        <v>1121</v>
      </c>
    </row>
    <row r="215" spans="2:3" x14ac:dyDescent="0.25">
      <c r="B215" s="1">
        <f t="shared" si="10"/>
        <v>43635</v>
      </c>
      <c r="C215" s="18">
        <f t="shared" si="11"/>
        <v>1121</v>
      </c>
    </row>
    <row r="216" spans="2:3" x14ac:dyDescent="0.25">
      <c r="B216" s="1">
        <f t="shared" si="10"/>
        <v>43636</v>
      </c>
      <c r="C216" s="18">
        <f t="shared" si="11"/>
        <v>1121</v>
      </c>
    </row>
    <row r="217" spans="2:3" x14ac:dyDescent="0.25">
      <c r="B217" s="1">
        <f t="shared" si="10"/>
        <v>43637</v>
      </c>
      <c r="C217" s="18">
        <f t="shared" si="11"/>
        <v>1121</v>
      </c>
    </row>
    <row r="218" spans="2:3" x14ac:dyDescent="0.25">
      <c r="B218" s="1">
        <f t="shared" si="10"/>
        <v>43638</v>
      </c>
      <c r="C218" s="18">
        <f t="shared" si="11"/>
        <v>1121</v>
      </c>
    </row>
    <row r="219" spans="2:3" x14ac:dyDescent="0.25">
      <c r="B219" s="1">
        <f t="shared" si="10"/>
        <v>43639</v>
      </c>
      <c r="C219" s="18">
        <f t="shared" si="11"/>
        <v>1121</v>
      </c>
    </row>
    <row r="220" spans="2:3" x14ac:dyDescent="0.25">
      <c r="B220" s="1">
        <f t="shared" si="10"/>
        <v>43640</v>
      </c>
      <c r="C220" s="18">
        <f t="shared" si="11"/>
        <v>1121</v>
      </c>
    </row>
    <row r="221" spans="2:3" x14ac:dyDescent="0.25">
      <c r="B221" s="1">
        <f t="shared" si="10"/>
        <v>43641</v>
      </c>
      <c r="C221" s="18">
        <f t="shared" si="11"/>
        <v>1121</v>
      </c>
    </row>
    <row r="222" spans="2:3" x14ac:dyDescent="0.25">
      <c r="B222" s="1">
        <f t="shared" si="10"/>
        <v>43642</v>
      </c>
      <c r="C222" s="18">
        <f t="shared" si="11"/>
        <v>1121</v>
      </c>
    </row>
    <row r="223" spans="2:3" x14ac:dyDescent="0.25">
      <c r="B223" s="1">
        <f t="shared" si="10"/>
        <v>43643</v>
      </c>
      <c r="C223" s="18">
        <f t="shared" si="11"/>
        <v>1121</v>
      </c>
    </row>
    <row r="224" spans="2:3" x14ac:dyDescent="0.25">
      <c r="B224" s="1">
        <f t="shared" si="10"/>
        <v>43644</v>
      </c>
      <c r="C224" s="18">
        <f t="shared" si="11"/>
        <v>1121</v>
      </c>
    </row>
    <row r="225" spans="2:3" x14ac:dyDescent="0.25">
      <c r="B225" s="1">
        <f t="shared" si="10"/>
        <v>43645</v>
      </c>
      <c r="C225" s="18">
        <f t="shared" si="11"/>
        <v>1121</v>
      </c>
    </row>
    <row r="226" spans="2:3" x14ac:dyDescent="0.25">
      <c r="B226" s="1">
        <f t="shared" si="10"/>
        <v>43646</v>
      </c>
      <c r="C226" s="18">
        <f t="shared" si="11"/>
        <v>1121</v>
      </c>
    </row>
    <row r="227" spans="2:3" x14ac:dyDescent="0.25">
      <c r="B227" s="1">
        <f t="shared" ref="B227:B257" si="12">AU7</f>
        <v>43647</v>
      </c>
      <c r="C227" s="18">
        <f>AX7</f>
        <v>1121</v>
      </c>
    </row>
    <row r="228" spans="2:3" x14ac:dyDescent="0.25">
      <c r="B228" s="1">
        <f t="shared" si="12"/>
        <v>43648</v>
      </c>
      <c r="C228" s="18">
        <f t="shared" ref="C228:C257" si="13">AX8</f>
        <v>1121</v>
      </c>
    </row>
    <row r="229" spans="2:3" x14ac:dyDescent="0.25">
      <c r="B229" s="1">
        <f t="shared" si="12"/>
        <v>43649</v>
      </c>
      <c r="C229" s="18">
        <f t="shared" si="13"/>
        <v>1121</v>
      </c>
    </row>
    <row r="230" spans="2:3" x14ac:dyDescent="0.25">
      <c r="B230" s="1">
        <f t="shared" si="12"/>
        <v>43650</v>
      </c>
      <c r="C230" s="18">
        <f t="shared" si="13"/>
        <v>1121</v>
      </c>
    </row>
    <row r="231" spans="2:3" x14ac:dyDescent="0.25">
      <c r="B231" s="1">
        <f t="shared" si="12"/>
        <v>43651</v>
      </c>
      <c r="C231" s="18">
        <f t="shared" si="13"/>
        <v>1121</v>
      </c>
    </row>
    <row r="232" spans="2:3" x14ac:dyDescent="0.25">
      <c r="B232" s="1">
        <f t="shared" si="12"/>
        <v>43652</v>
      </c>
      <c r="C232" s="18">
        <f t="shared" si="13"/>
        <v>1121</v>
      </c>
    </row>
    <row r="233" spans="2:3" x14ac:dyDescent="0.25">
      <c r="B233" s="1">
        <f t="shared" si="12"/>
        <v>43653</v>
      </c>
      <c r="C233" s="18">
        <f t="shared" si="13"/>
        <v>1121</v>
      </c>
    </row>
    <row r="234" spans="2:3" x14ac:dyDescent="0.25">
      <c r="B234" s="1">
        <f t="shared" si="12"/>
        <v>43654</v>
      </c>
      <c r="C234" s="18">
        <f t="shared" si="13"/>
        <v>1121</v>
      </c>
    </row>
    <row r="235" spans="2:3" x14ac:dyDescent="0.25">
      <c r="B235" s="1">
        <f t="shared" si="12"/>
        <v>43655</v>
      </c>
      <c r="C235" s="18">
        <f t="shared" si="13"/>
        <v>1121</v>
      </c>
    </row>
    <row r="236" spans="2:3" x14ac:dyDescent="0.25">
      <c r="B236" s="1">
        <f t="shared" si="12"/>
        <v>43656</v>
      </c>
      <c r="C236" s="18">
        <f t="shared" si="13"/>
        <v>1121</v>
      </c>
    </row>
    <row r="237" spans="2:3" x14ac:dyDescent="0.25">
      <c r="B237" s="1">
        <f t="shared" si="12"/>
        <v>43657</v>
      </c>
      <c r="C237" s="18">
        <f t="shared" si="13"/>
        <v>1121</v>
      </c>
    </row>
    <row r="238" spans="2:3" x14ac:dyDescent="0.25">
      <c r="B238" s="1">
        <f t="shared" si="12"/>
        <v>43658</v>
      </c>
      <c r="C238" s="18">
        <f t="shared" si="13"/>
        <v>1121</v>
      </c>
    </row>
    <row r="239" spans="2:3" x14ac:dyDescent="0.25">
      <c r="B239" s="1">
        <f t="shared" si="12"/>
        <v>43659</v>
      </c>
      <c r="C239" s="18">
        <f t="shared" si="13"/>
        <v>1121</v>
      </c>
    </row>
    <row r="240" spans="2:3" x14ac:dyDescent="0.25">
      <c r="B240" s="1">
        <f t="shared" si="12"/>
        <v>43660</v>
      </c>
      <c r="C240" s="18">
        <f t="shared" si="13"/>
        <v>1121</v>
      </c>
    </row>
    <row r="241" spans="2:3" x14ac:dyDescent="0.25">
      <c r="B241" s="1">
        <f t="shared" si="12"/>
        <v>43661</v>
      </c>
      <c r="C241" s="18">
        <f t="shared" si="13"/>
        <v>1121</v>
      </c>
    </row>
    <row r="242" spans="2:3" x14ac:dyDescent="0.25">
      <c r="B242" s="1">
        <f t="shared" si="12"/>
        <v>43662</v>
      </c>
      <c r="C242" s="18">
        <f t="shared" si="13"/>
        <v>1121</v>
      </c>
    </row>
    <row r="243" spans="2:3" x14ac:dyDescent="0.25">
      <c r="B243" s="1">
        <f t="shared" si="12"/>
        <v>43663</v>
      </c>
      <c r="C243" s="18">
        <f t="shared" si="13"/>
        <v>1121</v>
      </c>
    </row>
    <row r="244" spans="2:3" x14ac:dyDescent="0.25">
      <c r="B244" s="1">
        <f t="shared" si="12"/>
        <v>43664</v>
      </c>
      <c r="C244" s="18">
        <f t="shared" si="13"/>
        <v>1121</v>
      </c>
    </row>
    <row r="245" spans="2:3" x14ac:dyDescent="0.25">
      <c r="B245" s="1">
        <f t="shared" si="12"/>
        <v>43665</v>
      </c>
      <c r="C245" s="18">
        <f t="shared" si="13"/>
        <v>1121</v>
      </c>
    </row>
    <row r="246" spans="2:3" x14ac:dyDescent="0.25">
      <c r="B246" s="1">
        <f t="shared" si="12"/>
        <v>43666</v>
      </c>
      <c r="C246" s="18">
        <f t="shared" si="13"/>
        <v>1121</v>
      </c>
    </row>
    <row r="247" spans="2:3" x14ac:dyDescent="0.25">
      <c r="B247" s="1">
        <f t="shared" si="12"/>
        <v>43667</v>
      </c>
      <c r="C247" s="18">
        <f t="shared" si="13"/>
        <v>1121</v>
      </c>
    </row>
    <row r="248" spans="2:3" x14ac:dyDescent="0.25">
      <c r="B248" s="1">
        <f t="shared" si="12"/>
        <v>43668</v>
      </c>
      <c r="C248" s="18">
        <f t="shared" si="13"/>
        <v>1121</v>
      </c>
    </row>
    <row r="249" spans="2:3" x14ac:dyDescent="0.25">
      <c r="B249" s="1">
        <f t="shared" si="12"/>
        <v>43669</v>
      </c>
      <c r="C249" s="18">
        <f t="shared" si="13"/>
        <v>1121</v>
      </c>
    </row>
    <row r="250" spans="2:3" x14ac:dyDescent="0.25">
      <c r="B250" s="1">
        <f t="shared" si="12"/>
        <v>43670</v>
      </c>
      <c r="C250" s="18">
        <f t="shared" si="13"/>
        <v>1121</v>
      </c>
    </row>
    <row r="251" spans="2:3" x14ac:dyDescent="0.25">
      <c r="B251" s="1">
        <f t="shared" si="12"/>
        <v>43671</v>
      </c>
      <c r="C251" s="18">
        <f t="shared" si="13"/>
        <v>1121</v>
      </c>
    </row>
    <row r="252" spans="2:3" x14ac:dyDescent="0.25">
      <c r="B252" s="1">
        <f t="shared" si="12"/>
        <v>43672</v>
      </c>
      <c r="C252" s="18">
        <f t="shared" si="13"/>
        <v>1121</v>
      </c>
    </row>
    <row r="253" spans="2:3" x14ac:dyDescent="0.25">
      <c r="B253" s="1">
        <f t="shared" si="12"/>
        <v>43673</v>
      </c>
      <c r="C253" s="18">
        <f t="shared" si="13"/>
        <v>1121</v>
      </c>
    </row>
    <row r="254" spans="2:3" x14ac:dyDescent="0.25">
      <c r="B254" s="1">
        <f t="shared" si="12"/>
        <v>43674</v>
      </c>
      <c r="C254" s="18">
        <f t="shared" si="13"/>
        <v>1121</v>
      </c>
    </row>
    <row r="255" spans="2:3" x14ac:dyDescent="0.25">
      <c r="B255" s="1">
        <f t="shared" si="12"/>
        <v>43675</v>
      </c>
      <c r="C255" s="18">
        <f t="shared" si="13"/>
        <v>1121</v>
      </c>
    </row>
    <row r="256" spans="2:3" x14ac:dyDescent="0.25">
      <c r="B256" s="1">
        <f t="shared" si="12"/>
        <v>43676</v>
      </c>
      <c r="C256" s="18">
        <f t="shared" si="13"/>
        <v>1121</v>
      </c>
    </row>
    <row r="257" spans="2:3" x14ac:dyDescent="0.25">
      <c r="B257" s="1">
        <f t="shared" si="12"/>
        <v>43677</v>
      </c>
      <c r="C257" s="18">
        <f t="shared" si="13"/>
        <v>1121</v>
      </c>
    </row>
    <row r="258" spans="2:3" x14ac:dyDescent="0.25">
      <c r="B258" s="1">
        <f t="shared" ref="B258:B288" si="14">BB7</f>
        <v>43678</v>
      </c>
      <c r="C258" s="18">
        <f>BE7</f>
        <v>1121</v>
      </c>
    </row>
    <row r="259" spans="2:3" x14ac:dyDescent="0.25">
      <c r="B259" s="1">
        <f t="shared" si="14"/>
        <v>43679</v>
      </c>
      <c r="C259" s="18">
        <f t="shared" ref="C259:C288" si="15">BE8</f>
        <v>1121</v>
      </c>
    </row>
    <row r="260" spans="2:3" x14ac:dyDescent="0.25">
      <c r="B260" s="1">
        <f t="shared" si="14"/>
        <v>43680</v>
      </c>
      <c r="C260" s="18">
        <f t="shared" si="15"/>
        <v>1121</v>
      </c>
    </row>
    <row r="261" spans="2:3" x14ac:dyDescent="0.25">
      <c r="B261" s="1">
        <f t="shared" si="14"/>
        <v>43681</v>
      </c>
      <c r="C261" s="18">
        <f t="shared" si="15"/>
        <v>1121</v>
      </c>
    </row>
    <row r="262" spans="2:3" x14ac:dyDescent="0.25">
      <c r="B262" s="1">
        <f t="shared" si="14"/>
        <v>43682</v>
      </c>
      <c r="C262" s="18">
        <f t="shared" si="15"/>
        <v>1121</v>
      </c>
    </row>
    <row r="263" spans="2:3" x14ac:dyDescent="0.25">
      <c r="B263" s="1">
        <f t="shared" si="14"/>
        <v>43683</v>
      </c>
      <c r="C263" s="18">
        <f t="shared" si="15"/>
        <v>1121</v>
      </c>
    </row>
    <row r="264" spans="2:3" x14ac:dyDescent="0.25">
      <c r="B264" s="1">
        <f t="shared" si="14"/>
        <v>43684</v>
      </c>
      <c r="C264" s="18">
        <f t="shared" si="15"/>
        <v>1121</v>
      </c>
    </row>
    <row r="265" spans="2:3" x14ac:dyDescent="0.25">
      <c r="B265" s="1">
        <f t="shared" si="14"/>
        <v>43685</v>
      </c>
      <c r="C265" s="18">
        <f t="shared" si="15"/>
        <v>1121</v>
      </c>
    </row>
    <row r="266" spans="2:3" x14ac:dyDescent="0.25">
      <c r="B266" s="1">
        <f t="shared" si="14"/>
        <v>43686</v>
      </c>
      <c r="C266" s="18">
        <f t="shared" si="15"/>
        <v>1121</v>
      </c>
    </row>
    <row r="267" spans="2:3" x14ac:dyDescent="0.25">
      <c r="B267" s="1">
        <f t="shared" si="14"/>
        <v>43687</v>
      </c>
      <c r="C267" s="18">
        <f t="shared" si="15"/>
        <v>1121</v>
      </c>
    </row>
    <row r="268" spans="2:3" x14ac:dyDescent="0.25">
      <c r="B268" s="1">
        <f t="shared" si="14"/>
        <v>43688</v>
      </c>
      <c r="C268" s="18">
        <f t="shared" si="15"/>
        <v>1121</v>
      </c>
    </row>
    <row r="269" spans="2:3" x14ac:dyDescent="0.25">
      <c r="B269" s="1">
        <f t="shared" si="14"/>
        <v>43689</v>
      </c>
      <c r="C269" s="18">
        <f t="shared" si="15"/>
        <v>1121</v>
      </c>
    </row>
    <row r="270" spans="2:3" x14ac:dyDescent="0.25">
      <c r="B270" s="1">
        <f t="shared" si="14"/>
        <v>43690</v>
      </c>
      <c r="C270" s="18">
        <f t="shared" si="15"/>
        <v>1121</v>
      </c>
    </row>
    <row r="271" spans="2:3" x14ac:dyDescent="0.25">
      <c r="B271" s="1">
        <f t="shared" si="14"/>
        <v>43691</v>
      </c>
      <c r="C271" s="18">
        <f t="shared" si="15"/>
        <v>1121</v>
      </c>
    </row>
    <row r="272" spans="2:3" x14ac:dyDescent="0.25">
      <c r="B272" s="1">
        <f t="shared" si="14"/>
        <v>43692</v>
      </c>
      <c r="C272" s="18">
        <f t="shared" si="15"/>
        <v>1121</v>
      </c>
    </row>
    <row r="273" spans="2:3" x14ac:dyDescent="0.25">
      <c r="B273" s="1">
        <f t="shared" si="14"/>
        <v>43693</v>
      </c>
      <c r="C273" s="18">
        <f t="shared" si="15"/>
        <v>1121</v>
      </c>
    </row>
    <row r="274" spans="2:3" x14ac:dyDescent="0.25">
      <c r="B274" s="1">
        <f t="shared" si="14"/>
        <v>43694</v>
      </c>
      <c r="C274" s="18">
        <f t="shared" si="15"/>
        <v>1121</v>
      </c>
    </row>
    <row r="275" spans="2:3" x14ac:dyDescent="0.25">
      <c r="B275" s="1">
        <f t="shared" si="14"/>
        <v>43695</v>
      </c>
      <c r="C275" s="18">
        <f t="shared" si="15"/>
        <v>1121</v>
      </c>
    </row>
    <row r="276" spans="2:3" x14ac:dyDescent="0.25">
      <c r="B276" s="1">
        <f t="shared" si="14"/>
        <v>43696</v>
      </c>
      <c r="C276" s="18">
        <f t="shared" si="15"/>
        <v>1121</v>
      </c>
    </row>
    <row r="277" spans="2:3" x14ac:dyDescent="0.25">
      <c r="B277" s="1">
        <f t="shared" si="14"/>
        <v>43697</v>
      </c>
      <c r="C277" s="18">
        <f t="shared" si="15"/>
        <v>1121</v>
      </c>
    </row>
    <row r="278" spans="2:3" x14ac:dyDescent="0.25">
      <c r="B278" s="1">
        <f t="shared" si="14"/>
        <v>43698</v>
      </c>
      <c r="C278" s="18">
        <f t="shared" si="15"/>
        <v>1121</v>
      </c>
    </row>
    <row r="279" spans="2:3" x14ac:dyDescent="0.25">
      <c r="B279" s="1">
        <f t="shared" si="14"/>
        <v>43699</v>
      </c>
      <c r="C279" s="18">
        <f t="shared" si="15"/>
        <v>1121</v>
      </c>
    </row>
    <row r="280" spans="2:3" x14ac:dyDescent="0.25">
      <c r="B280" s="1">
        <f t="shared" si="14"/>
        <v>43700</v>
      </c>
      <c r="C280" s="18">
        <f t="shared" si="15"/>
        <v>1121</v>
      </c>
    </row>
    <row r="281" spans="2:3" x14ac:dyDescent="0.25">
      <c r="B281" s="1">
        <f t="shared" si="14"/>
        <v>43701</v>
      </c>
      <c r="C281" s="18">
        <f t="shared" si="15"/>
        <v>1121</v>
      </c>
    </row>
    <row r="282" spans="2:3" x14ac:dyDescent="0.25">
      <c r="B282" s="1">
        <f t="shared" si="14"/>
        <v>43702</v>
      </c>
      <c r="C282" s="18">
        <f t="shared" si="15"/>
        <v>1121</v>
      </c>
    </row>
    <row r="283" spans="2:3" x14ac:dyDescent="0.25">
      <c r="B283" s="1">
        <f t="shared" si="14"/>
        <v>43703</v>
      </c>
      <c r="C283" s="18">
        <f t="shared" si="15"/>
        <v>1121</v>
      </c>
    </row>
    <row r="284" spans="2:3" x14ac:dyDescent="0.25">
      <c r="B284" s="1">
        <f t="shared" si="14"/>
        <v>43704</v>
      </c>
      <c r="C284" s="18">
        <f t="shared" si="15"/>
        <v>1121</v>
      </c>
    </row>
    <row r="285" spans="2:3" x14ac:dyDescent="0.25">
      <c r="B285" s="1">
        <f t="shared" si="14"/>
        <v>43705</v>
      </c>
      <c r="C285" s="18">
        <f t="shared" si="15"/>
        <v>1121</v>
      </c>
    </row>
    <row r="286" spans="2:3" x14ac:dyDescent="0.25">
      <c r="B286" s="1">
        <f t="shared" si="14"/>
        <v>43706</v>
      </c>
      <c r="C286" s="18">
        <f t="shared" si="15"/>
        <v>1121</v>
      </c>
    </row>
    <row r="287" spans="2:3" x14ac:dyDescent="0.25">
      <c r="B287" s="1">
        <f t="shared" si="14"/>
        <v>43707</v>
      </c>
      <c r="C287" s="18">
        <f t="shared" si="15"/>
        <v>1121</v>
      </c>
    </row>
    <row r="288" spans="2:3" x14ac:dyDescent="0.25">
      <c r="B288" s="1">
        <f t="shared" si="14"/>
        <v>43708</v>
      </c>
      <c r="C288" s="18">
        <f t="shared" si="15"/>
        <v>1121</v>
      </c>
    </row>
    <row r="289" spans="2:3" x14ac:dyDescent="0.25">
      <c r="B289" s="1">
        <f t="shared" ref="B289:B318" si="16">BI7</f>
        <v>43709</v>
      </c>
      <c r="C289" s="18">
        <f>BL7</f>
        <v>1121</v>
      </c>
    </row>
    <row r="290" spans="2:3" x14ac:dyDescent="0.25">
      <c r="B290" s="1">
        <f t="shared" si="16"/>
        <v>43710</v>
      </c>
      <c r="C290" s="18">
        <f t="shared" ref="C290:C318" si="17">BL8</f>
        <v>1121</v>
      </c>
    </row>
    <row r="291" spans="2:3" x14ac:dyDescent="0.25">
      <c r="B291" s="1">
        <f t="shared" si="16"/>
        <v>43711</v>
      </c>
      <c r="C291" s="18">
        <f t="shared" si="17"/>
        <v>1121</v>
      </c>
    </row>
    <row r="292" spans="2:3" x14ac:dyDescent="0.25">
      <c r="B292" s="1">
        <f t="shared" si="16"/>
        <v>43712</v>
      </c>
      <c r="C292" s="18">
        <f t="shared" si="17"/>
        <v>1121</v>
      </c>
    </row>
    <row r="293" spans="2:3" x14ac:dyDescent="0.25">
      <c r="B293" s="1">
        <f t="shared" si="16"/>
        <v>43713</v>
      </c>
      <c r="C293" s="18">
        <f t="shared" si="17"/>
        <v>1121</v>
      </c>
    </row>
    <row r="294" spans="2:3" x14ac:dyDescent="0.25">
      <c r="B294" s="1">
        <f t="shared" si="16"/>
        <v>43714</v>
      </c>
      <c r="C294" s="18">
        <f t="shared" si="17"/>
        <v>1121</v>
      </c>
    </row>
    <row r="295" spans="2:3" x14ac:dyDescent="0.25">
      <c r="B295" s="1">
        <f t="shared" si="16"/>
        <v>43715</v>
      </c>
      <c r="C295" s="18">
        <f t="shared" si="17"/>
        <v>1121</v>
      </c>
    </row>
    <row r="296" spans="2:3" x14ac:dyDescent="0.25">
      <c r="B296" s="1">
        <f t="shared" si="16"/>
        <v>43716</v>
      </c>
      <c r="C296" s="18">
        <f t="shared" si="17"/>
        <v>1121</v>
      </c>
    </row>
    <row r="297" spans="2:3" x14ac:dyDescent="0.25">
      <c r="B297" s="1">
        <f t="shared" si="16"/>
        <v>43717</v>
      </c>
      <c r="C297" s="18">
        <f t="shared" si="17"/>
        <v>1121</v>
      </c>
    </row>
    <row r="298" spans="2:3" x14ac:dyDescent="0.25">
      <c r="B298" s="1">
        <f t="shared" si="16"/>
        <v>43718</v>
      </c>
      <c r="C298" s="18">
        <f t="shared" si="17"/>
        <v>1121</v>
      </c>
    </row>
    <row r="299" spans="2:3" x14ac:dyDescent="0.25">
      <c r="B299" s="1">
        <f t="shared" si="16"/>
        <v>43719</v>
      </c>
      <c r="C299" s="18">
        <f t="shared" si="17"/>
        <v>1121</v>
      </c>
    </row>
    <row r="300" spans="2:3" x14ac:dyDescent="0.25">
      <c r="B300" s="1">
        <f t="shared" si="16"/>
        <v>43720</v>
      </c>
      <c r="C300" s="18">
        <f t="shared" si="17"/>
        <v>1121</v>
      </c>
    </row>
    <row r="301" spans="2:3" x14ac:dyDescent="0.25">
      <c r="B301" s="1">
        <f t="shared" si="16"/>
        <v>43721</v>
      </c>
      <c r="C301" s="18">
        <f t="shared" si="17"/>
        <v>1121</v>
      </c>
    </row>
    <row r="302" spans="2:3" x14ac:dyDescent="0.25">
      <c r="B302" s="1">
        <f t="shared" si="16"/>
        <v>43722</v>
      </c>
      <c r="C302" s="18">
        <f t="shared" si="17"/>
        <v>1121</v>
      </c>
    </row>
    <row r="303" spans="2:3" x14ac:dyDescent="0.25">
      <c r="B303" s="1">
        <f t="shared" si="16"/>
        <v>43723</v>
      </c>
      <c r="C303" s="18">
        <f t="shared" si="17"/>
        <v>1121</v>
      </c>
    </row>
    <row r="304" spans="2:3" x14ac:dyDescent="0.25">
      <c r="B304" s="1">
        <f t="shared" si="16"/>
        <v>43724</v>
      </c>
      <c r="C304" s="18">
        <f t="shared" si="17"/>
        <v>1121</v>
      </c>
    </row>
    <row r="305" spans="2:3" x14ac:dyDescent="0.25">
      <c r="B305" s="1">
        <f t="shared" si="16"/>
        <v>43725</v>
      </c>
      <c r="C305" s="18">
        <f t="shared" si="17"/>
        <v>1121</v>
      </c>
    </row>
    <row r="306" spans="2:3" x14ac:dyDescent="0.25">
      <c r="B306" s="1">
        <f t="shared" si="16"/>
        <v>43726</v>
      </c>
      <c r="C306" s="18">
        <f t="shared" si="17"/>
        <v>1121</v>
      </c>
    </row>
    <row r="307" spans="2:3" x14ac:dyDescent="0.25">
      <c r="B307" s="1">
        <f t="shared" si="16"/>
        <v>43727</v>
      </c>
      <c r="C307" s="18">
        <f t="shared" si="17"/>
        <v>1121</v>
      </c>
    </row>
    <row r="308" spans="2:3" x14ac:dyDescent="0.25">
      <c r="B308" s="1">
        <f t="shared" si="16"/>
        <v>43728</v>
      </c>
      <c r="C308" s="18">
        <f t="shared" si="17"/>
        <v>1121</v>
      </c>
    </row>
    <row r="309" spans="2:3" x14ac:dyDescent="0.25">
      <c r="B309" s="1">
        <f t="shared" si="16"/>
        <v>43729</v>
      </c>
      <c r="C309" s="18">
        <f t="shared" si="17"/>
        <v>1121</v>
      </c>
    </row>
    <row r="310" spans="2:3" x14ac:dyDescent="0.25">
      <c r="B310" s="1">
        <f t="shared" si="16"/>
        <v>43730</v>
      </c>
      <c r="C310" s="18">
        <f t="shared" si="17"/>
        <v>1121</v>
      </c>
    </row>
    <row r="311" spans="2:3" x14ac:dyDescent="0.25">
      <c r="B311" s="1">
        <f t="shared" si="16"/>
        <v>43731</v>
      </c>
      <c r="C311" s="18">
        <f t="shared" si="17"/>
        <v>1121</v>
      </c>
    </row>
    <row r="312" spans="2:3" x14ac:dyDescent="0.25">
      <c r="B312" s="1">
        <f t="shared" si="16"/>
        <v>43732</v>
      </c>
      <c r="C312" s="18">
        <f t="shared" si="17"/>
        <v>1121</v>
      </c>
    </row>
    <row r="313" spans="2:3" x14ac:dyDescent="0.25">
      <c r="B313" s="1">
        <f t="shared" si="16"/>
        <v>43733</v>
      </c>
      <c r="C313" s="18">
        <f t="shared" si="17"/>
        <v>1121</v>
      </c>
    </row>
    <row r="314" spans="2:3" x14ac:dyDescent="0.25">
      <c r="B314" s="1">
        <f t="shared" si="16"/>
        <v>43734</v>
      </c>
      <c r="C314" s="18">
        <f t="shared" si="17"/>
        <v>1121</v>
      </c>
    </row>
    <row r="315" spans="2:3" x14ac:dyDescent="0.25">
      <c r="B315" s="1">
        <f t="shared" si="16"/>
        <v>43735</v>
      </c>
      <c r="C315" s="18">
        <f t="shared" si="17"/>
        <v>1121</v>
      </c>
    </row>
    <row r="316" spans="2:3" x14ac:dyDescent="0.25">
      <c r="B316" s="1">
        <f t="shared" si="16"/>
        <v>43736</v>
      </c>
      <c r="C316" s="18">
        <f t="shared" si="17"/>
        <v>1121</v>
      </c>
    </row>
    <row r="317" spans="2:3" x14ac:dyDescent="0.25">
      <c r="B317" s="1">
        <f t="shared" si="16"/>
        <v>43737</v>
      </c>
      <c r="C317" s="18">
        <f t="shared" si="17"/>
        <v>1121</v>
      </c>
    </row>
    <row r="318" spans="2:3" x14ac:dyDescent="0.25">
      <c r="B318" s="1">
        <f t="shared" si="16"/>
        <v>43738</v>
      </c>
      <c r="C318" s="18">
        <f t="shared" si="17"/>
        <v>1121</v>
      </c>
    </row>
    <row r="319" spans="2:3" x14ac:dyDescent="0.25">
      <c r="B319" s="1">
        <f t="shared" ref="B319:B349" si="18">BP7</f>
        <v>43739</v>
      </c>
      <c r="C319" s="18">
        <f>BS7</f>
        <v>1121</v>
      </c>
    </row>
    <row r="320" spans="2:3" x14ac:dyDescent="0.25">
      <c r="B320" s="1">
        <f t="shared" si="18"/>
        <v>43740</v>
      </c>
      <c r="C320" s="18">
        <f t="shared" ref="C320:C349" si="19">BS8</f>
        <v>1121</v>
      </c>
    </row>
    <row r="321" spans="2:3" x14ac:dyDescent="0.25">
      <c r="B321" s="1">
        <f t="shared" si="18"/>
        <v>43741</v>
      </c>
      <c r="C321" s="18">
        <f t="shared" si="19"/>
        <v>1121</v>
      </c>
    </row>
    <row r="322" spans="2:3" x14ac:dyDescent="0.25">
      <c r="B322" s="1">
        <f t="shared" si="18"/>
        <v>43742</v>
      </c>
      <c r="C322" s="18">
        <f t="shared" si="19"/>
        <v>1121</v>
      </c>
    </row>
    <row r="323" spans="2:3" x14ac:dyDescent="0.25">
      <c r="B323" s="1">
        <f t="shared" si="18"/>
        <v>43743</v>
      </c>
      <c r="C323" s="18">
        <f t="shared" si="19"/>
        <v>1121</v>
      </c>
    </row>
    <row r="324" spans="2:3" x14ac:dyDescent="0.25">
      <c r="B324" s="1">
        <f t="shared" si="18"/>
        <v>43744</v>
      </c>
      <c r="C324" s="18">
        <f t="shared" si="19"/>
        <v>1121</v>
      </c>
    </row>
    <row r="325" spans="2:3" x14ac:dyDescent="0.25">
      <c r="B325" s="1">
        <f t="shared" si="18"/>
        <v>43745</v>
      </c>
      <c r="C325" s="18">
        <f t="shared" si="19"/>
        <v>1121</v>
      </c>
    </row>
    <row r="326" spans="2:3" x14ac:dyDescent="0.25">
      <c r="B326" s="1">
        <f t="shared" si="18"/>
        <v>43746</v>
      </c>
      <c r="C326" s="18">
        <f t="shared" si="19"/>
        <v>1121</v>
      </c>
    </row>
    <row r="327" spans="2:3" x14ac:dyDescent="0.25">
      <c r="B327" s="1">
        <f t="shared" si="18"/>
        <v>43747</v>
      </c>
      <c r="C327" s="18">
        <f t="shared" si="19"/>
        <v>1121</v>
      </c>
    </row>
    <row r="328" spans="2:3" x14ac:dyDescent="0.25">
      <c r="B328" s="1">
        <f t="shared" si="18"/>
        <v>43748</v>
      </c>
      <c r="C328" s="18">
        <f t="shared" si="19"/>
        <v>1121</v>
      </c>
    </row>
    <row r="329" spans="2:3" x14ac:dyDescent="0.25">
      <c r="B329" s="1">
        <f t="shared" si="18"/>
        <v>43749</v>
      </c>
      <c r="C329" s="18">
        <f t="shared" si="19"/>
        <v>1121</v>
      </c>
    </row>
    <row r="330" spans="2:3" x14ac:dyDescent="0.25">
      <c r="B330" s="1">
        <f t="shared" si="18"/>
        <v>43750</v>
      </c>
      <c r="C330" s="18">
        <f t="shared" si="19"/>
        <v>1121</v>
      </c>
    </row>
    <row r="331" spans="2:3" x14ac:dyDescent="0.25">
      <c r="B331" s="1">
        <f t="shared" si="18"/>
        <v>43751</v>
      </c>
      <c r="C331" s="18">
        <f t="shared" si="19"/>
        <v>1121</v>
      </c>
    </row>
    <row r="332" spans="2:3" x14ac:dyDescent="0.25">
      <c r="B332" s="1">
        <f t="shared" si="18"/>
        <v>43752</v>
      </c>
      <c r="C332" s="18">
        <f t="shared" si="19"/>
        <v>1121</v>
      </c>
    </row>
    <row r="333" spans="2:3" x14ac:dyDescent="0.25">
      <c r="B333" s="1">
        <f t="shared" si="18"/>
        <v>43753</v>
      </c>
      <c r="C333" s="18">
        <f t="shared" si="19"/>
        <v>1121</v>
      </c>
    </row>
    <row r="334" spans="2:3" x14ac:dyDescent="0.25">
      <c r="B334" s="1">
        <f t="shared" si="18"/>
        <v>43754</v>
      </c>
      <c r="C334" s="18">
        <f t="shared" si="19"/>
        <v>1121</v>
      </c>
    </row>
    <row r="335" spans="2:3" x14ac:dyDescent="0.25">
      <c r="B335" s="1">
        <f t="shared" si="18"/>
        <v>43755</v>
      </c>
      <c r="C335" s="18">
        <f t="shared" si="19"/>
        <v>1121</v>
      </c>
    </row>
    <row r="336" spans="2:3" x14ac:dyDescent="0.25">
      <c r="B336" s="1">
        <f t="shared" si="18"/>
        <v>43756</v>
      </c>
      <c r="C336" s="18">
        <f t="shared" si="19"/>
        <v>1121</v>
      </c>
    </row>
    <row r="337" spans="2:3" x14ac:dyDescent="0.25">
      <c r="B337" s="1">
        <f t="shared" si="18"/>
        <v>43757</v>
      </c>
      <c r="C337" s="18">
        <f t="shared" si="19"/>
        <v>1121</v>
      </c>
    </row>
    <row r="338" spans="2:3" x14ac:dyDescent="0.25">
      <c r="B338" s="1">
        <f t="shared" si="18"/>
        <v>43758</v>
      </c>
      <c r="C338" s="18">
        <f t="shared" si="19"/>
        <v>1121</v>
      </c>
    </row>
    <row r="339" spans="2:3" x14ac:dyDescent="0.25">
      <c r="B339" s="1">
        <f t="shared" si="18"/>
        <v>43759</v>
      </c>
      <c r="C339" s="18">
        <f t="shared" si="19"/>
        <v>1121</v>
      </c>
    </row>
    <row r="340" spans="2:3" x14ac:dyDescent="0.25">
      <c r="B340" s="1">
        <f t="shared" si="18"/>
        <v>43760</v>
      </c>
      <c r="C340" s="18">
        <f>BS28</f>
        <v>1121</v>
      </c>
    </row>
    <row r="341" spans="2:3" x14ac:dyDescent="0.25">
      <c r="B341" s="1">
        <f t="shared" si="18"/>
        <v>43761</v>
      </c>
      <c r="C341" s="18">
        <f t="shared" si="19"/>
        <v>1121</v>
      </c>
    </row>
    <row r="342" spans="2:3" x14ac:dyDescent="0.25">
      <c r="B342" s="1">
        <f t="shared" si="18"/>
        <v>43762</v>
      </c>
      <c r="C342" s="18">
        <f t="shared" si="19"/>
        <v>1121</v>
      </c>
    </row>
    <row r="343" spans="2:3" x14ac:dyDescent="0.25">
      <c r="B343" s="1">
        <f t="shared" si="18"/>
        <v>43763</v>
      </c>
      <c r="C343" s="18">
        <f t="shared" si="19"/>
        <v>1121</v>
      </c>
    </row>
    <row r="344" spans="2:3" x14ac:dyDescent="0.25">
      <c r="B344" s="1">
        <f t="shared" si="18"/>
        <v>43764</v>
      </c>
      <c r="C344" s="18">
        <f t="shared" si="19"/>
        <v>1121</v>
      </c>
    </row>
    <row r="345" spans="2:3" x14ac:dyDescent="0.25">
      <c r="B345" s="1">
        <f t="shared" si="18"/>
        <v>43765</v>
      </c>
      <c r="C345" s="18">
        <f t="shared" si="19"/>
        <v>1121</v>
      </c>
    </row>
    <row r="346" spans="2:3" x14ac:dyDescent="0.25">
      <c r="B346" s="1">
        <f t="shared" si="18"/>
        <v>43766</v>
      </c>
      <c r="C346" s="18">
        <f t="shared" si="19"/>
        <v>1121</v>
      </c>
    </row>
    <row r="347" spans="2:3" x14ac:dyDescent="0.25">
      <c r="B347" s="1">
        <f t="shared" si="18"/>
        <v>43767</v>
      </c>
      <c r="C347" s="18">
        <f t="shared" si="19"/>
        <v>1121</v>
      </c>
    </row>
    <row r="348" spans="2:3" x14ac:dyDescent="0.25">
      <c r="B348" s="1">
        <f t="shared" si="18"/>
        <v>43768</v>
      </c>
      <c r="C348" s="18">
        <f t="shared" si="19"/>
        <v>1121</v>
      </c>
    </row>
    <row r="349" spans="2:3" x14ac:dyDescent="0.25">
      <c r="B349" s="1">
        <f t="shared" si="18"/>
        <v>43769</v>
      </c>
      <c r="C349" s="18">
        <f t="shared" si="19"/>
        <v>1121</v>
      </c>
    </row>
    <row r="350" spans="2:3" x14ac:dyDescent="0.25">
      <c r="B350" s="1">
        <f t="shared" ref="B350:B379" si="20">BW7</f>
        <v>43770</v>
      </c>
      <c r="C350" s="18">
        <f>BZ7</f>
        <v>1121</v>
      </c>
    </row>
    <row r="351" spans="2:3" x14ac:dyDescent="0.25">
      <c r="B351" s="1">
        <f t="shared" si="20"/>
        <v>43771</v>
      </c>
      <c r="C351" s="18">
        <f t="shared" ref="C351:C379" si="21">BZ8</f>
        <v>1121</v>
      </c>
    </row>
    <row r="352" spans="2:3" x14ac:dyDescent="0.25">
      <c r="B352" s="1">
        <f t="shared" si="20"/>
        <v>43772</v>
      </c>
      <c r="C352" s="18">
        <f t="shared" si="21"/>
        <v>1121</v>
      </c>
    </row>
    <row r="353" spans="2:3" x14ac:dyDescent="0.25">
      <c r="B353" s="1">
        <f t="shared" si="20"/>
        <v>43773</v>
      </c>
      <c r="C353" s="18">
        <f t="shared" si="21"/>
        <v>1121</v>
      </c>
    </row>
    <row r="354" spans="2:3" x14ac:dyDescent="0.25">
      <c r="B354" s="1">
        <f t="shared" si="20"/>
        <v>43774</v>
      </c>
      <c r="C354" s="18">
        <f t="shared" si="21"/>
        <v>1121</v>
      </c>
    </row>
    <row r="355" spans="2:3" x14ac:dyDescent="0.25">
      <c r="B355" s="1">
        <f t="shared" si="20"/>
        <v>43775</v>
      </c>
      <c r="C355" s="18">
        <f t="shared" si="21"/>
        <v>1121</v>
      </c>
    </row>
    <row r="356" spans="2:3" x14ac:dyDescent="0.25">
      <c r="B356" s="1">
        <f t="shared" si="20"/>
        <v>43776</v>
      </c>
      <c r="C356" s="18">
        <f t="shared" si="21"/>
        <v>1121</v>
      </c>
    </row>
    <row r="357" spans="2:3" x14ac:dyDescent="0.25">
      <c r="B357" s="1">
        <f t="shared" si="20"/>
        <v>43777</v>
      </c>
      <c r="C357" s="18">
        <f t="shared" si="21"/>
        <v>1121</v>
      </c>
    </row>
    <row r="358" spans="2:3" x14ac:dyDescent="0.25">
      <c r="B358" s="1">
        <f t="shared" si="20"/>
        <v>43778</v>
      </c>
      <c r="C358" s="18">
        <f t="shared" si="21"/>
        <v>1121</v>
      </c>
    </row>
    <row r="359" spans="2:3" x14ac:dyDescent="0.25">
      <c r="B359" s="1">
        <f t="shared" si="20"/>
        <v>43779</v>
      </c>
      <c r="C359" s="18">
        <f t="shared" si="21"/>
        <v>1121</v>
      </c>
    </row>
    <row r="360" spans="2:3" x14ac:dyDescent="0.25">
      <c r="B360" s="1">
        <f t="shared" si="20"/>
        <v>43780</v>
      </c>
      <c r="C360" s="18">
        <f t="shared" si="21"/>
        <v>1121</v>
      </c>
    </row>
    <row r="361" spans="2:3" x14ac:dyDescent="0.25">
      <c r="B361" s="1">
        <f t="shared" si="20"/>
        <v>43781</v>
      </c>
      <c r="C361" s="18">
        <f t="shared" si="21"/>
        <v>1121</v>
      </c>
    </row>
    <row r="362" spans="2:3" x14ac:dyDescent="0.25">
      <c r="B362" s="1">
        <f t="shared" si="20"/>
        <v>43782</v>
      </c>
      <c r="C362" s="18">
        <f t="shared" si="21"/>
        <v>1121</v>
      </c>
    </row>
    <row r="363" spans="2:3" x14ac:dyDescent="0.25">
      <c r="B363" s="1">
        <f t="shared" si="20"/>
        <v>43783</v>
      </c>
      <c r="C363" s="18">
        <f t="shared" si="21"/>
        <v>1121</v>
      </c>
    </row>
    <row r="364" spans="2:3" x14ac:dyDescent="0.25">
      <c r="B364" s="1">
        <f t="shared" si="20"/>
        <v>43784</v>
      </c>
      <c r="C364" s="18">
        <f t="shared" si="21"/>
        <v>1121</v>
      </c>
    </row>
    <row r="365" spans="2:3" x14ac:dyDescent="0.25">
      <c r="B365" s="1">
        <f t="shared" si="20"/>
        <v>43785</v>
      </c>
      <c r="C365" s="18">
        <f t="shared" si="21"/>
        <v>1121</v>
      </c>
    </row>
    <row r="366" spans="2:3" x14ac:dyDescent="0.25">
      <c r="B366" s="1">
        <f t="shared" si="20"/>
        <v>43786</v>
      </c>
      <c r="C366" s="18">
        <f t="shared" si="21"/>
        <v>1121</v>
      </c>
    </row>
    <row r="367" spans="2:3" x14ac:dyDescent="0.25">
      <c r="B367" s="1">
        <f t="shared" si="20"/>
        <v>43787</v>
      </c>
      <c r="C367" s="18">
        <f t="shared" si="21"/>
        <v>1121</v>
      </c>
    </row>
    <row r="368" spans="2:3" x14ac:dyDescent="0.25">
      <c r="B368" s="1">
        <f t="shared" si="20"/>
        <v>43788</v>
      </c>
      <c r="C368" s="18">
        <f t="shared" si="21"/>
        <v>1121</v>
      </c>
    </row>
    <row r="369" spans="2:3" x14ac:dyDescent="0.25">
      <c r="B369" s="1">
        <f t="shared" si="20"/>
        <v>43789</v>
      </c>
      <c r="C369" s="18">
        <f t="shared" si="21"/>
        <v>1121</v>
      </c>
    </row>
    <row r="370" spans="2:3" x14ac:dyDescent="0.25">
      <c r="B370" s="1">
        <f t="shared" si="20"/>
        <v>43790</v>
      </c>
      <c r="C370" s="18">
        <f t="shared" si="21"/>
        <v>1121</v>
      </c>
    </row>
    <row r="371" spans="2:3" x14ac:dyDescent="0.25">
      <c r="B371" s="1">
        <f t="shared" si="20"/>
        <v>43791</v>
      </c>
      <c r="C371" s="18">
        <f t="shared" si="21"/>
        <v>1121</v>
      </c>
    </row>
    <row r="372" spans="2:3" x14ac:dyDescent="0.25">
      <c r="B372" s="1">
        <f t="shared" si="20"/>
        <v>43792</v>
      </c>
      <c r="C372" s="18">
        <f t="shared" si="21"/>
        <v>1121</v>
      </c>
    </row>
    <row r="373" spans="2:3" x14ac:dyDescent="0.25">
      <c r="B373" s="1">
        <f t="shared" si="20"/>
        <v>43793</v>
      </c>
      <c r="C373" s="18">
        <f t="shared" si="21"/>
        <v>1121</v>
      </c>
    </row>
    <row r="374" spans="2:3" x14ac:dyDescent="0.25">
      <c r="B374" s="1">
        <f t="shared" si="20"/>
        <v>43794</v>
      </c>
      <c r="C374" s="18">
        <f t="shared" si="21"/>
        <v>1121</v>
      </c>
    </row>
    <row r="375" spans="2:3" x14ac:dyDescent="0.25">
      <c r="B375" s="1">
        <f t="shared" si="20"/>
        <v>43795</v>
      </c>
      <c r="C375" s="18">
        <f t="shared" si="21"/>
        <v>1121</v>
      </c>
    </row>
    <row r="376" spans="2:3" x14ac:dyDescent="0.25">
      <c r="B376" s="1">
        <f t="shared" si="20"/>
        <v>43796</v>
      </c>
      <c r="C376" s="18">
        <f t="shared" si="21"/>
        <v>1121</v>
      </c>
    </row>
    <row r="377" spans="2:3" x14ac:dyDescent="0.25">
      <c r="B377" s="1">
        <f t="shared" si="20"/>
        <v>43797</v>
      </c>
      <c r="C377" s="18">
        <f t="shared" si="21"/>
        <v>1121</v>
      </c>
    </row>
    <row r="378" spans="2:3" x14ac:dyDescent="0.25">
      <c r="B378" s="1">
        <f t="shared" si="20"/>
        <v>43798</v>
      </c>
      <c r="C378" s="18">
        <f t="shared" si="21"/>
        <v>1121</v>
      </c>
    </row>
    <row r="379" spans="2:3" x14ac:dyDescent="0.25">
      <c r="B379" s="1">
        <f t="shared" si="20"/>
        <v>43799</v>
      </c>
      <c r="C379" s="18">
        <f t="shared" si="21"/>
        <v>1121</v>
      </c>
    </row>
    <row r="380" spans="2:3" x14ac:dyDescent="0.25">
      <c r="B380" s="1">
        <f>CD7</f>
        <v>43800</v>
      </c>
      <c r="C380" s="18">
        <f>CG7</f>
        <v>1121</v>
      </c>
    </row>
    <row r="381" spans="2:3" x14ac:dyDescent="0.25">
      <c r="B381" s="1">
        <f t="shared" ref="B381:B410" si="22">CD8</f>
        <v>43801</v>
      </c>
      <c r="C381" s="18">
        <f t="shared" ref="C381:C410" si="23">CG8</f>
        <v>1121</v>
      </c>
    </row>
    <row r="382" spans="2:3" x14ac:dyDescent="0.25">
      <c r="B382" s="1">
        <f t="shared" si="22"/>
        <v>43802</v>
      </c>
      <c r="C382" s="18">
        <f t="shared" si="23"/>
        <v>1121</v>
      </c>
    </row>
    <row r="383" spans="2:3" x14ac:dyDescent="0.25">
      <c r="B383" s="1">
        <f t="shared" si="22"/>
        <v>43803</v>
      </c>
      <c r="C383" s="18">
        <f t="shared" si="23"/>
        <v>1121</v>
      </c>
    </row>
    <row r="384" spans="2:3" x14ac:dyDescent="0.25">
      <c r="B384" s="1">
        <f t="shared" si="22"/>
        <v>43804</v>
      </c>
      <c r="C384" s="18">
        <f t="shared" si="23"/>
        <v>1121</v>
      </c>
    </row>
    <row r="385" spans="2:3" x14ac:dyDescent="0.25">
      <c r="B385" s="1">
        <f t="shared" si="22"/>
        <v>43805</v>
      </c>
      <c r="C385" s="18">
        <f t="shared" si="23"/>
        <v>1121</v>
      </c>
    </row>
    <row r="386" spans="2:3" x14ac:dyDescent="0.25">
      <c r="B386" s="1">
        <f t="shared" si="22"/>
        <v>43806</v>
      </c>
      <c r="C386" s="18">
        <f t="shared" si="23"/>
        <v>1121</v>
      </c>
    </row>
    <row r="387" spans="2:3" x14ac:dyDescent="0.25">
      <c r="B387" s="1">
        <f t="shared" si="22"/>
        <v>43807</v>
      </c>
      <c r="C387" s="18">
        <f t="shared" si="23"/>
        <v>1121</v>
      </c>
    </row>
    <row r="388" spans="2:3" x14ac:dyDescent="0.25">
      <c r="B388" s="1">
        <f t="shared" si="22"/>
        <v>43808</v>
      </c>
      <c r="C388" s="18">
        <f t="shared" si="23"/>
        <v>1121</v>
      </c>
    </row>
    <row r="389" spans="2:3" x14ac:dyDescent="0.25">
      <c r="B389" s="1">
        <f t="shared" si="22"/>
        <v>43809</v>
      </c>
      <c r="C389" s="18">
        <f t="shared" si="23"/>
        <v>1121</v>
      </c>
    </row>
    <row r="390" spans="2:3" x14ac:dyDescent="0.25">
      <c r="B390" s="1">
        <f t="shared" si="22"/>
        <v>43810</v>
      </c>
      <c r="C390" s="18">
        <f t="shared" si="23"/>
        <v>1121</v>
      </c>
    </row>
    <row r="391" spans="2:3" x14ac:dyDescent="0.25">
      <c r="B391" s="1">
        <f t="shared" si="22"/>
        <v>43811</v>
      </c>
      <c r="C391" s="18">
        <f t="shared" si="23"/>
        <v>1121</v>
      </c>
    </row>
    <row r="392" spans="2:3" x14ac:dyDescent="0.25">
      <c r="B392" s="1">
        <f t="shared" si="22"/>
        <v>43812</v>
      </c>
      <c r="C392" s="18">
        <f t="shared" si="23"/>
        <v>1121</v>
      </c>
    </row>
    <row r="393" spans="2:3" x14ac:dyDescent="0.25">
      <c r="B393" s="1">
        <f t="shared" si="22"/>
        <v>43813</v>
      </c>
      <c r="C393" s="18">
        <f t="shared" si="23"/>
        <v>1121</v>
      </c>
    </row>
    <row r="394" spans="2:3" x14ac:dyDescent="0.25">
      <c r="B394" s="1">
        <f t="shared" si="22"/>
        <v>43814</v>
      </c>
      <c r="C394" s="18">
        <f t="shared" si="23"/>
        <v>1121</v>
      </c>
    </row>
    <row r="395" spans="2:3" x14ac:dyDescent="0.25">
      <c r="B395" s="1">
        <f t="shared" si="22"/>
        <v>43815</v>
      </c>
      <c r="C395" s="18">
        <f t="shared" si="23"/>
        <v>1121</v>
      </c>
    </row>
    <row r="396" spans="2:3" x14ac:dyDescent="0.25">
      <c r="B396" s="1">
        <f t="shared" si="22"/>
        <v>43816</v>
      </c>
      <c r="C396" s="18">
        <f t="shared" si="23"/>
        <v>1121</v>
      </c>
    </row>
    <row r="397" spans="2:3" x14ac:dyDescent="0.25">
      <c r="B397" s="1">
        <f t="shared" si="22"/>
        <v>43817</v>
      </c>
      <c r="C397" s="18">
        <f t="shared" si="23"/>
        <v>1121</v>
      </c>
    </row>
    <row r="398" spans="2:3" x14ac:dyDescent="0.25">
      <c r="B398" s="1">
        <f t="shared" si="22"/>
        <v>43818</v>
      </c>
      <c r="C398" s="18">
        <f t="shared" si="23"/>
        <v>1121</v>
      </c>
    </row>
    <row r="399" spans="2:3" x14ac:dyDescent="0.25">
      <c r="B399" s="1">
        <f t="shared" si="22"/>
        <v>43819</v>
      </c>
      <c r="C399" s="18">
        <f t="shared" si="23"/>
        <v>1121</v>
      </c>
    </row>
    <row r="400" spans="2:3" x14ac:dyDescent="0.25">
      <c r="B400" s="1">
        <f t="shared" si="22"/>
        <v>43820</v>
      </c>
      <c r="C400" s="18">
        <f t="shared" si="23"/>
        <v>1121</v>
      </c>
    </row>
    <row r="401" spans="2:3" x14ac:dyDescent="0.25">
      <c r="B401" s="1">
        <f t="shared" si="22"/>
        <v>43821</v>
      </c>
      <c r="C401" s="18">
        <f t="shared" si="23"/>
        <v>1121</v>
      </c>
    </row>
    <row r="402" spans="2:3" x14ac:dyDescent="0.25">
      <c r="B402" s="1">
        <f>CD29</f>
        <v>43822</v>
      </c>
      <c r="C402" s="18">
        <f t="shared" si="23"/>
        <v>1121</v>
      </c>
    </row>
    <row r="403" spans="2:3" x14ac:dyDescent="0.25">
      <c r="B403" s="1">
        <f t="shared" si="22"/>
        <v>43823</v>
      </c>
      <c r="C403" s="18">
        <f t="shared" si="23"/>
        <v>1121</v>
      </c>
    </row>
    <row r="404" spans="2:3" x14ac:dyDescent="0.25">
      <c r="B404" s="1">
        <f t="shared" si="22"/>
        <v>43824</v>
      </c>
      <c r="C404" s="18">
        <f t="shared" si="23"/>
        <v>1121</v>
      </c>
    </row>
    <row r="405" spans="2:3" x14ac:dyDescent="0.25">
      <c r="B405" s="1">
        <f t="shared" si="22"/>
        <v>43825</v>
      </c>
      <c r="C405" s="18">
        <f t="shared" si="23"/>
        <v>1121</v>
      </c>
    </row>
    <row r="406" spans="2:3" x14ac:dyDescent="0.25">
      <c r="B406" s="1">
        <f t="shared" si="22"/>
        <v>43826</v>
      </c>
      <c r="C406" s="18">
        <f t="shared" si="23"/>
        <v>1121</v>
      </c>
    </row>
    <row r="407" spans="2:3" x14ac:dyDescent="0.25">
      <c r="B407" s="1">
        <f t="shared" si="22"/>
        <v>43827</v>
      </c>
      <c r="C407" s="18">
        <f t="shared" si="23"/>
        <v>1121</v>
      </c>
    </row>
    <row r="408" spans="2:3" x14ac:dyDescent="0.25">
      <c r="B408" s="1">
        <f t="shared" si="22"/>
        <v>43828</v>
      </c>
      <c r="C408" s="18">
        <f t="shared" si="23"/>
        <v>1121</v>
      </c>
    </row>
    <row r="409" spans="2:3" x14ac:dyDescent="0.25">
      <c r="B409" s="1">
        <f t="shared" si="22"/>
        <v>43829</v>
      </c>
      <c r="C409" s="18">
        <f t="shared" si="23"/>
        <v>1121</v>
      </c>
    </row>
    <row r="410" spans="2:3" x14ac:dyDescent="0.25">
      <c r="B410" s="1">
        <f t="shared" si="22"/>
        <v>43830</v>
      </c>
      <c r="C410" s="18">
        <f t="shared" si="23"/>
        <v>1121</v>
      </c>
    </row>
  </sheetData>
  <sheetProtection algorithmName="SHA-512" hashValue="d6CoQ0MAYmwDXAgzdRAt4GJpHXaD2cA59R1KpZQJ1Ftk+T16RIFhQ5G9DvHjWZISi+Dm3KgLq5K44jb/R29pVA==" saltValue="ihxl9xftTtKfPwPZxR7g7A==" spinCount="100000" sheet="1" objects="1" scenarios="1" selectLockedCells="1"/>
  <mergeCells count="53">
    <mergeCell ref="B16:C18"/>
    <mergeCell ref="B9:C11"/>
    <mergeCell ref="S5:V5"/>
    <mergeCell ref="L5:O5"/>
    <mergeCell ref="E5:H5"/>
    <mergeCell ref="B5:D5"/>
    <mergeCell ref="B7:B8"/>
    <mergeCell ref="C7:C8"/>
    <mergeCell ref="B12:C13"/>
    <mergeCell ref="B14:C15"/>
    <mergeCell ref="S2:W2"/>
    <mergeCell ref="B2:C2"/>
    <mergeCell ref="L2:P2"/>
    <mergeCell ref="E2:I2"/>
    <mergeCell ref="B4:C4"/>
    <mergeCell ref="Z2:AD2"/>
    <mergeCell ref="Z5:AC5"/>
    <mergeCell ref="BI2:BM2"/>
    <mergeCell ref="BP2:BT2"/>
    <mergeCell ref="BW2:CA2"/>
    <mergeCell ref="AG2:AK2"/>
    <mergeCell ref="AN2:AR2"/>
    <mergeCell ref="AU2:AY2"/>
    <mergeCell ref="BB2:BF2"/>
    <mergeCell ref="AG5:AJ5"/>
    <mergeCell ref="AN5:AQ5"/>
    <mergeCell ref="AU5:AX5"/>
    <mergeCell ref="BB5:BE5"/>
    <mergeCell ref="CD2:CH2"/>
    <mergeCell ref="BI5:BL5"/>
    <mergeCell ref="BP5:BS5"/>
    <mergeCell ref="BW5:BZ5"/>
    <mergeCell ref="CD5:CG5"/>
    <mergeCell ref="B45:C45"/>
    <mergeCell ref="I36:K38"/>
    <mergeCell ref="P36:R38"/>
    <mergeCell ref="W36:Y38"/>
    <mergeCell ref="AD36:AF38"/>
    <mergeCell ref="B44:C44"/>
    <mergeCell ref="B38:D38"/>
    <mergeCell ref="B24:C26"/>
    <mergeCell ref="CH36:CJ38"/>
    <mergeCell ref="CA36:CC38"/>
    <mergeCell ref="BT36:BV38"/>
    <mergeCell ref="BM36:BO38"/>
    <mergeCell ref="AK36:AM38"/>
    <mergeCell ref="AY36:BA38"/>
    <mergeCell ref="AR36:AT38"/>
    <mergeCell ref="BF36:BH38"/>
    <mergeCell ref="B28:C30"/>
    <mergeCell ref="B31:C33"/>
    <mergeCell ref="B34:C35"/>
    <mergeCell ref="B19:C23"/>
  </mergeCells>
  <conditionalFormatting sqref="G14:G17 G37 F7:F37">
    <cfRule type="notContainsBlanks" dxfId="165" priority="275">
      <formula>LEN(TRIM(F7))&gt;0</formula>
    </cfRule>
  </conditionalFormatting>
  <conditionalFormatting sqref="G29:G37 G7:G27">
    <cfRule type="notContainsBlanks" dxfId="164" priority="274">
      <formula>LEN(TRIM(G7))&gt;0</formula>
    </cfRule>
  </conditionalFormatting>
  <conditionalFormatting sqref="G28">
    <cfRule type="notContainsBlanks" dxfId="163" priority="257">
      <formula>LEN(TRIM(G28))&gt;0</formula>
    </cfRule>
  </conditionalFormatting>
  <conditionalFormatting sqref="F28">
    <cfRule type="notContainsBlanks" dxfId="162" priority="256">
      <formula>LEN(TRIM(F28))&gt;0</formula>
    </cfRule>
  </conditionalFormatting>
  <conditionalFormatting sqref="H7:H37">
    <cfRule type="iconSet" priority="53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expression" priority="537">
      <formula>$H$6&gt;$H$7</formula>
    </cfRule>
    <cfRule type="cellIs" dxfId="161" priority="538" operator="greaterThan">
      <formula>$H$6</formula>
    </cfRule>
  </conditionalFormatting>
  <conditionalFormatting sqref="H7:H37">
    <cfRule type="iconSet" priority="539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E1:E1048576 L1 S1 Z1 S40:S1048576 L40:L1048576">
    <cfRule type="timePeriod" dxfId="160" priority="229" timePeriod="today">
      <formula>FLOOR(E1,1)=TODAY()</formula>
    </cfRule>
  </conditionalFormatting>
  <conditionalFormatting sqref="N14:N17 U14:U17 AB14:AB17 AI14:AI17 AP14:AP17 AW14:AW17 BD14:BD17 BK14:BK17 BR14:BR17 BY14:BY17 CF14:CF17 N37 U37 AB37 AI37 AP37 AW37 BD37 BK37 BR37 BY37 CF37">
    <cfRule type="notContainsBlanks" dxfId="159" priority="51">
      <formula>LEN(TRIM(N14))&gt;0</formula>
    </cfRule>
  </conditionalFormatting>
  <conditionalFormatting sqref="N29:N37 U29:U37 AB29:AB37 AI29:AI37 AP29:AP37 AW29:AW37 BD29:BD37 BK29:BK37 BR29:BR37 BY29:BY37 CF29:CF37 N7:N27 U7:U27 AB7:AB27 AI7:AI27 AP7:AP27 AW7:AW27 BD7:BD27 BK7:BK27 BR7:BR27 BY7:BY27 CF7:CF27">
    <cfRule type="notContainsBlanks" dxfId="158" priority="50">
      <formula>LEN(TRIM(N7))&gt;0</formula>
    </cfRule>
  </conditionalFormatting>
  <conditionalFormatting sqref="N28 U28 AB28 AI28 AP28 AW28 BD28 BK28 BR28 BY28 CF28">
    <cfRule type="notContainsBlanks" dxfId="157" priority="49">
      <formula>LEN(TRIM(N28))&gt;0</formula>
    </cfRule>
  </conditionalFormatting>
  <conditionalFormatting sqref="O7:O37 V7:V37 AC7:AC37 AJ7:AJ37 AQ7:AQ37 AX7:AX37 BE7:BE37 BL7:BL37 BS7:BS37 BZ7:BZ37 CG7:CG37">
    <cfRule type="iconSet" priority="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expression" priority="53">
      <formula>$H$6&gt;$H$7</formula>
    </cfRule>
    <cfRule type="cellIs" dxfId="156" priority="54" operator="greaterThan">
      <formula>$H$6</formula>
    </cfRule>
  </conditionalFormatting>
  <conditionalFormatting sqref="O7:O37 V7:V37 AC7:AC37 AJ7:AJ37 AQ7:AQ37 AX7:AX37 BE7:BE37 BL7:BL37 BS7:BS37 BZ7:BZ37 CG7:CG37">
    <cfRule type="iconSet" priority="55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L2:L37 S2:S37 Z2:Z37 AG2:AG37 AN2:AN37 AU2:AU37 BB2:BB37 BI2:BI37 BP2:BP37 BW2:BW37 CD2:CD37 L39 S39 Z39 AG39 AN39 AU39 BB39 BI39 BP39 BW39 CD39">
    <cfRule type="timePeriod" dxfId="155" priority="47" timePeriod="today">
      <formula>FLOOR(L2,1)=TODAY()</formula>
    </cfRule>
  </conditionalFormatting>
  <conditionalFormatting sqref="M7:M37">
    <cfRule type="notContainsBlanks" dxfId="154" priority="46">
      <formula>LEN(TRIM(M7))&gt;0</formula>
    </cfRule>
  </conditionalFormatting>
  <conditionalFormatting sqref="T7:T37">
    <cfRule type="notContainsBlanks" dxfId="153" priority="45">
      <formula>LEN(TRIM(T7))&gt;0</formula>
    </cfRule>
  </conditionalFormatting>
  <conditionalFormatting sqref="AA7:AA37">
    <cfRule type="notContainsBlanks" dxfId="152" priority="44">
      <formula>LEN(TRIM(AA7))&gt;0</formula>
    </cfRule>
  </conditionalFormatting>
  <conditionalFormatting sqref="AH7:AH37">
    <cfRule type="notContainsBlanks" dxfId="151" priority="43">
      <formula>LEN(TRIM(AH7))&gt;0</formula>
    </cfRule>
  </conditionalFormatting>
  <conditionalFormatting sqref="AO7:AO37">
    <cfRule type="notContainsBlanks" dxfId="150" priority="42">
      <formula>LEN(TRIM(AO7))&gt;0</formula>
    </cfRule>
  </conditionalFormatting>
  <conditionalFormatting sqref="AV7:AV37">
    <cfRule type="notContainsBlanks" dxfId="149" priority="41">
      <formula>LEN(TRIM(AV7))&gt;0</formula>
    </cfRule>
  </conditionalFormatting>
  <conditionalFormatting sqref="BC7:BC37">
    <cfRule type="notContainsBlanks" dxfId="148" priority="40">
      <formula>LEN(TRIM(BC7))&gt;0</formula>
    </cfRule>
  </conditionalFormatting>
  <conditionalFormatting sqref="BJ7:BJ37">
    <cfRule type="notContainsBlanks" dxfId="147" priority="39">
      <formula>LEN(TRIM(BJ7))&gt;0</formula>
    </cfRule>
  </conditionalFormatting>
  <conditionalFormatting sqref="BQ7:BQ37">
    <cfRule type="notContainsBlanks" dxfId="146" priority="38">
      <formula>LEN(TRIM(BQ7))&gt;0</formula>
    </cfRule>
  </conditionalFormatting>
  <conditionalFormatting sqref="BX7:BX37">
    <cfRule type="notContainsBlanks" dxfId="145" priority="37">
      <formula>LEN(TRIM(BX7))&gt;0</formula>
    </cfRule>
  </conditionalFormatting>
  <conditionalFormatting sqref="CE7:CE37">
    <cfRule type="notContainsBlanks" dxfId="144" priority="36">
      <formula>LEN(TRIM(CE7))&gt;0</formula>
    </cfRule>
  </conditionalFormatting>
  <conditionalFormatting sqref="E38">
    <cfRule type="cellIs" dxfId="143" priority="35" operator="greaterThan">
      <formula>0</formula>
    </cfRule>
    <cfRule type="cellIs" dxfId="142" priority="34" operator="lessThan">
      <formula>0</formula>
    </cfRule>
  </conditionalFormatting>
  <conditionalFormatting sqref="L38">
    <cfRule type="timePeriod" dxfId="141" priority="33" timePeriod="today">
      <formula>FLOOR(L38,1)=TODAY()</formula>
    </cfRule>
  </conditionalFormatting>
  <conditionalFormatting sqref="L38">
    <cfRule type="cellIs" dxfId="140" priority="31" operator="lessThan">
      <formula>0</formula>
    </cfRule>
    <cfRule type="cellIs" dxfId="139" priority="32" operator="greaterThan">
      <formula>0</formula>
    </cfRule>
  </conditionalFormatting>
  <conditionalFormatting sqref="S38">
    <cfRule type="timePeriod" dxfId="138" priority="30" timePeriod="today">
      <formula>FLOOR(S38,1)=TODAY()</formula>
    </cfRule>
  </conditionalFormatting>
  <conditionalFormatting sqref="S38">
    <cfRule type="cellIs" dxfId="137" priority="28" operator="lessThan">
      <formula>0</formula>
    </cfRule>
    <cfRule type="cellIs" dxfId="136" priority="29" operator="greaterThan">
      <formula>0</formula>
    </cfRule>
  </conditionalFormatting>
  <conditionalFormatting sqref="Z38">
    <cfRule type="timePeriod" dxfId="135" priority="27" timePeriod="today">
      <formula>FLOOR(Z38,1)=TODAY()</formula>
    </cfRule>
  </conditionalFormatting>
  <conditionalFormatting sqref="Z38">
    <cfRule type="cellIs" dxfId="134" priority="25" operator="lessThan">
      <formula>0</formula>
    </cfRule>
    <cfRule type="cellIs" dxfId="133" priority="26" operator="greaterThan">
      <formula>0</formula>
    </cfRule>
  </conditionalFormatting>
  <conditionalFormatting sqref="AG38">
    <cfRule type="timePeriod" dxfId="132" priority="24" timePeriod="today">
      <formula>FLOOR(AG38,1)=TODAY()</formula>
    </cfRule>
  </conditionalFormatting>
  <conditionalFormatting sqref="AG38">
    <cfRule type="cellIs" dxfId="131" priority="22" operator="lessThan">
      <formula>0</formula>
    </cfRule>
    <cfRule type="cellIs" dxfId="130" priority="23" operator="greaterThan">
      <formula>0</formula>
    </cfRule>
  </conditionalFormatting>
  <conditionalFormatting sqref="AN38">
    <cfRule type="timePeriod" dxfId="129" priority="21" timePeriod="today">
      <formula>FLOOR(AN38,1)=TODAY()</formula>
    </cfRule>
  </conditionalFormatting>
  <conditionalFormatting sqref="AN38">
    <cfRule type="cellIs" dxfId="128" priority="19" operator="lessThan">
      <formula>0</formula>
    </cfRule>
    <cfRule type="cellIs" dxfId="127" priority="20" operator="greaterThan">
      <formula>0</formula>
    </cfRule>
  </conditionalFormatting>
  <conditionalFormatting sqref="AU38">
    <cfRule type="timePeriod" dxfId="126" priority="18" timePeriod="today">
      <formula>FLOOR(AU38,1)=TODAY()</formula>
    </cfRule>
  </conditionalFormatting>
  <conditionalFormatting sqref="AU38">
    <cfRule type="cellIs" dxfId="125" priority="16" operator="lessThan">
      <formula>0</formula>
    </cfRule>
    <cfRule type="cellIs" dxfId="124" priority="17" operator="greaterThan">
      <formula>0</formula>
    </cfRule>
  </conditionalFormatting>
  <conditionalFormatting sqref="BB38">
    <cfRule type="timePeriod" dxfId="123" priority="15" timePeriod="today">
      <formula>FLOOR(BB38,1)=TODAY()</formula>
    </cfRule>
  </conditionalFormatting>
  <conditionalFormatting sqref="BB38">
    <cfRule type="cellIs" dxfId="122" priority="13" operator="lessThan">
      <formula>0</formula>
    </cfRule>
    <cfRule type="cellIs" dxfId="121" priority="14" operator="greaterThan">
      <formula>0</formula>
    </cfRule>
  </conditionalFormatting>
  <conditionalFormatting sqref="BI38">
    <cfRule type="timePeriod" dxfId="120" priority="12" timePeriod="today">
      <formula>FLOOR(BI38,1)=TODAY()</formula>
    </cfRule>
  </conditionalFormatting>
  <conditionalFormatting sqref="BI38">
    <cfRule type="cellIs" dxfId="119" priority="10" operator="lessThan">
      <formula>0</formula>
    </cfRule>
    <cfRule type="cellIs" dxfId="118" priority="11" operator="greaterThan">
      <formula>0</formula>
    </cfRule>
  </conditionalFormatting>
  <conditionalFormatting sqref="BP38">
    <cfRule type="timePeriod" dxfId="117" priority="9" timePeriod="today">
      <formula>FLOOR(BP38,1)=TODAY()</formula>
    </cfRule>
  </conditionalFormatting>
  <conditionalFormatting sqref="BP38">
    <cfRule type="cellIs" dxfId="116" priority="7" operator="lessThan">
      <formula>0</formula>
    </cfRule>
    <cfRule type="cellIs" dxfId="115" priority="8" operator="greaterThan">
      <formula>0</formula>
    </cfRule>
  </conditionalFormatting>
  <conditionalFormatting sqref="BW38">
    <cfRule type="timePeriod" dxfId="114" priority="6" timePeriod="today">
      <formula>FLOOR(BW38,1)=TODAY()</formula>
    </cfRule>
  </conditionalFormatting>
  <conditionalFormatting sqref="BW38">
    <cfRule type="cellIs" dxfId="113" priority="4" operator="lessThan">
      <formula>0</formula>
    </cfRule>
    <cfRule type="cellIs" dxfId="112" priority="5" operator="greaterThan">
      <formula>0</formula>
    </cfRule>
  </conditionalFormatting>
  <conditionalFormatting sqref="CD38">
    <cfRule type="timePeriod" dxfId="111" priority="3" timePeriod="today">
      <formula>FLOOR(CD38,1)=TODAY()</formula>
    </cfRule>
  </conditionalFormatting>
  <conditionalFormatting sqref="CD38">
    <cfRule type="cellIs" dxfId="110" priority="1" operator="lessThan">
      <formula>0</formula>
    </cfRule>
    <cfRule type="cellIs" dxfId="109" priority="2" operator="greaterThan">
      <formula>0</formula>
    </cfRule>
  </conditionalFormatting>
  <pageMargins left="0.7" right="0.7" top="0.75" bottom="0.75" header="0.3" footer="0.3"/>
  <pageSetup orientation="portrait" r:id="rId1"/>
  <legacy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F992D110-C037-4E00-AADE-2EC88AF96E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Status'!AC7:AC38</xm:f>
              <xm:sqref>AD36</xm:sqref>
            </x14:sparkline>
          </x14:sparklines>
        </x14:sparklineGroup>
        <x14:sparklineGroup manualMax="0" manualMin="0" displayEmptyCellsAs="gap" xr2:uid="{BA81422B-3557-4CF3-8204-171285B946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Status'!V7:V38</xm:f>
              <xm:sqref>W36</xm:sqref>
            </x14:sparkline>
          </x14:sparklines>
        </x14:sparklineGroup>
        <x14:sparklineGroup manualMax="0" manualMin="0" displayEmptyCellsAs="gap" xr2:uid="{CB63A806-1D47-4FEC-B587-14B514AD47E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Status'!O7:O38</xm:f>
              <xm:sqref>P36</xm:sqref>
            </x14:sparkline>
          </x14:sparklines>
        </x14:sparklineGroup>
        <x14:sparklineGroup manualMax="0" manualMin="0" displayEmptyCellsAs="gap" xr2:uid="{12202B4E-4BAD-4F09-BFFD-82E8AE760F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Status'!H7:H38</xm:f>
              <xm:sqref>I36</xm:sqref>
            </x14:sparkline>
          </x14:sparklines>
        </x14:sparklineGroup>
        <x14:sparklineGroup manualMax="0" manualMin="0" displayEmptyCellsAs="gap" xr2:uid="{A6852200-781C-4828-8871-EB10FAA07A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Status'!AJ7:AJ38</xm:f>
              <xm:sqref>AK36</xm:sqref>
            </x14:sparkline>
          </x14:sparklines>
        </x14:sparklineGroup>
        <x14:sparklineGroup manualMax="0" manualMin="0" displayEmptyCellsAs="gap" xr2:uid="{91E08508-C319-4FA3-AAD8-F34DEC98EFD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Status'!AQ7:AQ38</xm:f>
              <xm:sqref>AR36</xm:sqref>
            </x14:sparkline>
          </x14:sparklines>
        </x14:sparklineGroup>
        <x14:sparklineGroup manualMax="0" manualMin="0" displayEmptyCellsAs="gap" xr2:uid="{6554BB69-B19D-4DE5-AF4B-2FF9A6532D4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Status'!AX7:AX38</xm:f>
              <xm:sqref>AY36</xm:sqref>
            </x14:sparkline>
          </x14:sparklines>
        </x14:sparklineGroup>
        <x14:sparklineGroup manualMax="0" manualMin="0" displayEmptyCellsAs="gap" xr2:uid="{874424BB-C715-4EAF-892A-2FE8DEF3C60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Status'!BE7:BE38</xm:f>
              <xm:sqref>BF36</xm:sqref>
            </x14:sparkline>
          </x14:sparklines>
        </x14:sparklineGroup>
        <x14:sparklineGroup manualMax="0" manualMin="0" displayEmptyCellsAs="gap" xr2:uid="{BA182BCD-1EC9-49A1-BF80-6BC8136D41A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Status'!BL7:BL38</xm:f>
              <xm:sqref>BM36</xm:sqref>
            </x14:sparkline>
          </x14:sparklines>
        </x14:sparklineGroup>
        <x14:sparklineGroup manualMax="0" manualMin="0" displayEmptyCellsAs="gap" xr2:uid="{34A7FBEF-53BD-4FAA-B352-F4B1B4691AB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Status'!BS7:BS38</xm:f>
              <xm:sqref>BT36</xm:sqref>
            </x14:sparkline>
          </x14:sparklines>
        </x14:sparklineGroup>
        <x14:sparklineGroup manualMax="0" manualMin="0" displayEmptyCellsAs="gap" xr2:uid="{BCC9857C-FB6B-46A7-9C9B-CABABC48254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Status'!BZ7:BZ38</xm:f>
              <xm:sqref>CA36</xm:sqref>
            </x14:sparkline>
          </x14:sparklines>
        </x14:sparklineGroup>
        <x14:sparklineGroup manualMax="0" manualMin="0" displayEmptyCellsAs="gap" xr2:uid="{9FF76034-95B1-4B6B-AA4D-7F38D32DE99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'Checking Status'!CG7:CG38</xm:f>
              <xm:sqref>CH36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A5E8-3888-41C0-B60F-E5B251D2A572}">
  <sheetPr codeName="Sheet6"/>
  <dimension ref="B1:BL62"/>
  <sheetViews>
    <sheetView zoomScale="125" zoomScaleNormal="70" workbookViewId="0">
      <selection activeCell="G56" sqref="G56"/>
    </sheetView>
  </sheetViews>
  <sheetFormatPr defaultColWidth="8.85546875" defaultRowHeight="15" x14ac:dyDescent="0.25"/>
  <cols>
    <col min="1" max="4" width="8.85546875" style="22"/>
    <col min="5" max="5" width="18.42578125" style="22" bestFit="1" customWidth="1"/>
    <col min="6" max="6" width="8.140625" style="22" bestFit="1" customWidth="1"/>
    <col min="7" max="7" width="11" style="22" bestFit="1" customWidth="1"/>
    <col min="8" max="9" width="8.85546875" style="22"/>
    <col min="10" max="10" width="18.42578125" style="22" bestFit="1" customWidth="1"/>
    <col min="11" max="11" width="7.28515625" style="22" bestFit="1" customWidth="1"/>
    <col min="12" max="12" width="11" style="22" bestFit="1" customWidth="1"/>
    <col min="13" max="14" width="8.85546875" style="22"/>
    <col min="15" max="15" width="18.42578125" style="22" bestFit="1" customWidth="1"/>
    <col min="16" max="16" width="7.28515625" style="22" bestFit="1" customWidth="1"/>
    <col min="17" max="17" width="10" style="22" bestFit="1" customWidth="1"/>
    <col min="18" max="19" width="8.85546875" style="22"/>
    <col min="20" max="20" width="18.42578125" style="22" bestFit="1" customWidth="1"/>
    <col min="21" max="21" width="7.28515625" style="22" bestFit="1" customWidth="1"/>
    <col min="22" max="22" width="11" style="22" bestFit="1" customWidth="1"/>
    <col min="23" max="24" width="8.85546875" style="22"/>
    <col min="25" max="25" width="18.42578125" style="22" bestFit="1" customWidth="1"/>
    <col min="26" max="26" width="8.85546875" style="22"/>
    <col min="27" max="27" width="11" style="22" bestFit="1" customWidth="1"/>
    <col min="28" max="29" width="8.85546875" style="22"/>
    <col min="30" max="30" width="18.42578125" style="22" bestFit="1" customWidth="1"/>
    <col min="31" max="31" width="7.28515625" style="22" bestFit="1" customWidth="1"/>
    <col min="32" max="32" width="11" style="22" bestFit="1" customWidth="1"/>
    <col min="33" max="34" width="8.85546875" style="22"/>
    <col min="35" max="35" width="18.42578125" style="22" bestFit="1" customWidth="1"/>
    <col min="36" max="36" width="7.28515625" style="22" bestFit="1" customWidth="1"/>
    <col min="37" max="37" width="10" style="22" bestFit="1" customWidth="1"/>
    <col min="38" max="39" width="8.85546875" style="22"/>
    <col min="40" max="40" width="18.42578125" style="22" bestFit="1" customWidth="1"/>
    <col min="41" max="41" width="7.28515625" style="22" bestFit="1" customWidth="1"/>
    <col min="42" max="42" width="11" style="22" bestFit="1" customWidth="1"/>
    <col min="43" max="44" width="8.85546875" style="22"/>
    <col min="45" max="45" width="18.42578125" style="22" bestFit="1" customWidth="1"/>
    <col min="46" max="46" width="7.28515625" style="22" bestFit="1" customWidth="1"/>
    <col min="47" max="47" width="11" style="22" bestFit="1" customWidth="1"/>
    <col min="48" max="49" width="8.85546875" style="22"/>
    <col min="50" max="50" width="18.42578125" style="22" bestFit="1" customWidth="1"/>
    <col min="51" max="51" width="7.28515625" style="22" bestFit="1" customWidth="1"/>
    <col min="52" max="52" width="11" style="22" bestFit="1" customWidth="1"/>
    <col min="53" max="54" width="8.85546875" style="22"/>
    <col min="55" max="55" width="18.42578125" style="22" bestFit="1" customWidth="1"/>
    <col min="56" max="56" width="7.28515625" style="22" bestFit="1" customWidth="1"/>
    <col min="57" max="57" width="10" style="22" bestFit="1" customWidth="1"/>
    <col min="58" max="59" width="8.85546875" style="22"/>
    <col min="60" max="60" width="18.42578125" style="22" bestFit="1" customWidth="1"/>
    <col min="61" max="61" width="7.28515625" style="22" bestFit="1" customWidth="1"/>
    <col min="62" max="62" width="11" style="22" bestFit="1" customWidth="1"/>
    <col min="63" max="16384" width="8.85546875" style="22"/>
  </cols>
  <sheetData>
    <row r="1" spans="2:64" ht="15.75" thickBot="1" x14ac:dyDescent="0.3"/>
    <row r="2" spans="2:64" s="28" customFormat="1" ht="24" thickBot="1" x14ac:dyDescent="0.4">
      <c r="B2" s="166" t="s">
        <v>20</v>
      </c>
      <c r="C2" s="167"/>
      <c r="D2" s="76"/>
      <c r="E2" s="160" t="s">
        <v>95</v>
      </c>
      <c r="F2" s="161"/>
      <c r="G2" s="162"/>
      <c r="H2" s="75"/>
      <c r="I2" s="75"/>
      <c r="J2" s="160" t="s">
        <v>96</v>
      </c>
      <c r="K2" s="161"/>
      <c r="L2" s="162"/>
      <c r="M2" s="75"/>
      <c r="N2" s="75"/>
      <c r="O2" s="160" t="s">
        <v>97</v>
      </c>
      <c r="P2" s="161"/>
      <c r="Q2" s="162"/>
      <c r="R2" s="75"/>
      <c r="S2" s="75"/>
      <c r="T2" s="160" t="s">
        <v>98</v>
      </c>
      <c r="U2" s="161"/>
      <c r="V2" s="162"/>
      <c r="W2" s="75"/>
      <c r="X2" s="75"/>
      <c r="Y2" s="160" t="s">
        <v>99</v>
      </c>
      <c r="Z2" s="161"/>
      <c r="AA2" s="162"/>
      <c r="AB2" s="75"/>
      <c r="AC2" s="75"/>
      <c r="AD2" s="160" t="s">
        <v>100</v>
      </c>
      <c r="AE2" s="161"/>
      <c r="AF2" s="162"/>
      <c r="AG2" s="75"/>
      <c r="AH2" s="75"/>
      <c r="AI2" s="160" t="s">
        <v>101</v>
      </c>
      <c r="AJ2" s="161"/>
      <c r="AK2" s="162"/>
      <c r="AL2" s="75"/>
      <c r="AM2" s="75"/>
      <c r="AN2" s="160" t="s">
        <v>102</v>
      </c>
      <c r="AO2" s="161"/>
      <c r="AP2" s="162"/>
      <c r="AQ2" s="75"/>
      <c r="AR2" s="75"/>
      <c r="AS2" s="160" t="s">
        <v>22</v>
      </c>
      <c r="AT2" s="161"/>
      <c r="AU2" s="162"/>
      <c r="AV2" s="75"/>
      <c r="AW2" s="75"/>
      <c r="AX2" s="160" t="s">
        <v>0</v>
      </c>
      <c r="AY2" s="161"/>
      <c r="AZ2" s="162"/>
      <c r="BA2" s="75"/>
      <c r="BB2" s="75"/>
      <c r="BC2" s="160" t="s">
        <v>2</v>
      </c>
      <c r="BD2" s="161"/>
      <c r="BE2" s="162"/>
      <c r="BF2" s="75"/>
      <c r="BG2" s="75"/>
      <c r="BH2" s="160" t="s">
        <v>34</v>
      </c>
      <c r="BI2" s="161"/>
      <c r="BJ2" s="162"/>
      <c r="BK2" s="99"/>
      <c r="BL2" s="22"/>
    </row>
    <row r="3" spans="2:64" ht="15.75" thickBot="1" x14ac:dyDescent="0.3">
      <c r="B3" s="83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100"/>
    </row>
    <row r="4" spans="2:64" ht="16.5" thickTop="1" thickBot="1" x14ac:dyDescent="0.3">
      <c r="B4" s="71"/>
      <c r="C4" s="69"/>
      <c r="D4" s="69"/>
      <c r="E4" s="69"/>
      <c r="F4" s="69"/>
      <c r="G4" s="69"/>
      <c r="H4" s="81"/>
      <c r="I4" s="69"/>
      <c r="J4" s="69"/>
      <c r="K4" s="69"/>
      <c r="L4" s="69"/>
      <c r="M4" s="81"/>
      <c r="N4" s="69"/>
      <c r="O4" s="69"/>
      <c r="P4" s="69"/>
      <c r="Q4" s="69"/>
      <c r="R4" s="81"/>
      <c r="S4" s="69"/>
      <c r="T4" s="69"/>
      <c r="U4" s="69"/>
      <c r="V4" s="69"/>
      <c r="W4" s="81"/>
      <c r="X4" s="69"/>
      <c r="Y4" s="69"/>
      <c r="Z4" s="69"/>
      <c r="AA4" s="69"/>
      <c r="AB4" s="81"/>
      <c r="AC4" s="69"/>
      <c r="AD4" s="69"/>
      <c r="AE4" s="69"/>
      <c r="AF4" s="69"/>
      <c r="AG4" s="81"/>
      <c r="AH4" s="69"/>
      <c r="AI4" s="69"/>
      <c r="AJ4" s="69"/>
      <c r="AK4" s="69"/>
      <c r="AL4" s="81"/>
      <c r="AM4" s="69"/>
      <c r="AN4" s="69"/>
      <c r="AO4" s="69"/>
      <c r="AP4" s="69"/>
      <c r="AQ4" s="81"/>
      <c r="AR4" s="69"/>
      <c r="AS4" s="69"/>
      <c r="AT4" s="69"/>
      <c r="AU4" s="69"/>
      <c r="AV4" s="81"/>
      <c r="AW4" s="69"/>
      <c r="AX4" s="69"/>
      <c r="AY4" s="69"/>
      <c r="AZ4" s="69"/>
      <c r="BA4" s="81"/>
      <c r="BB4" s="69"/>
      <c r="BC4" s="69"/>
      <c r="BD4" s="69"/>
      <c r="BE4" s="69"/>
      <c r="BF4" s="81"/>
      <c r="BG4" s="69"/>
      <c r="BH4" s="69"/>
      <c r="BI4" s="69"/>
      <c r="BJ4" s="69"/>
      <c r="BK4" s="78"/>
    </row>
    <row r="5" spans="2:64" ht="15.75" thickBot="1" x14ac:dyDescent="0.3">
      <c r="B5" s="71"/>
      <c r="C5" s="69"/>
      <c r="D5" s="69"/>
      <c r="E5" s="194" t="s">
        <v>1</v>
      </c>
      <c r="F5" s="195"/>
      <c r="G5" s="196"/>
      <c r="H5" s="82"/>
      <c r="I5" s="69"/>
      <c r="J5" s="194" t="s">
        <v>1</v>
      </c>
      <c r="K5" s="195"/>
      <c r="L5" s="196"/>
      <c r="M5" s="82"/>
      <c r="N5" s="69"/>
      <c r="O5" s="194" t="s">
        <v>1</v>
      </c>
      <c r="P5" s="195"/>
      <c r="Q5" s="196"/>
      <c r="R5" s="82"/>
      <c r="S5" s="69"/>
      <c r="T5" s="194" t="s">
        <v>1</v>
      </c>
      <c r="U5" s="195"/>
      <c r="V5" s="196"/>
      <c r="W5" s="82"/>
      <c r="X5" s="69"/>
      <c r="Y5" s="194" t="s">
        <v>1</v>
      </c>
      <c r="Z5" s="195"/>
      <c r="AA5" s="196"/>
      <c r="AB5" s="82"/>
      <c r="AC5" s="69"/>
      <c r="AD5" s="194" t="s">
        <v>1</v>
      </c>
      <c r="AE5" s="195"/>
      <c r="AF5" s="196"/>
      <c r="AG5" s="82"/>
      <c r="AH5" s="69"/>
      <c r="AI5" s="194" t="s">
        <v>1</v>
      </c>
      <c r="AJ5" s="195"/>
      <c r="AK5" s="196"/>
      <c r="AL5" s="82"/>
      <c r="AM5" s="69"/>
      <c r="AN5" s="194" t="s">
        <v>1</v>
      </c>
      <c r="AO5" s="195"/>
      <c r="AP5" s="196"/>
      <c r="AQ5" s="82"/>
      <c r="AR5" s="69"/>
      <c r="AS5" s="194" t="s">
        <v>1</v>
      </c>
      <c r="AT5" s="195"/>
      <c r="AU5" s="196"/>
      <c r="AV5" s="82"/>
      <c r="AW5" s="69"/>
      <c r="AX5" s="194" t="s">
        <v>1</v>
      </c>
      <c r="AY5" s="195"/>
      <c r="AZ5" s="196"/>
      <c r="BA5" s="82"/>
      <c r="BB5" s="69"/>
      <c r="BC5" s="194" t="s">
        <v>1</v>
      </c>
      <c r="BD5" s="195"/>
      <c r="BE5" s="196"/>
      <c r="BF5" s="82"/>
      <c r="BG5" s="69"/>
      <c r="BH5" s="194" t="s">
        <v>1</v>
      </c>
      <c r="BI5" s="195"/>
      <c r="BJ5" s="196"/>
      <c r="BK5" s="78"/>
    </row>
    <row r="6" spans="2:64" ht="15.75" thickBot="1" x14ac:dyDescent="0.3">
      <c r="B6" s="71"/>
      <c r="C6" s="69"/>
      <c r="D6" s="69"/>
      <c r="E6" s="90" t="s">
        <v>37</v>
      </c>
      <c r="F6" s="91" t="s">
        <v>38</v>
      </c>
      <c r="G6" s="92" t="s">
        <v>39</v>
      </c>
      <c r="H6" s="82"/>
      <c r="I6" s="69"/>
      <c r="J6" s="90" t="s">
        <v>37</v>
      </c>
      <c r="K6" s="91" t="s">
        <v>38</v>
      </c>
      <c r="L6" s="92" t="s">
        <v>39</v>
      </c>
      <c r="M6" s="82"/>
      <c r="N6" s="69"/>
      <c r="O6" s="90" t="s">
        <v>37</v>
      </c>
      <c r="P6" s="91" t="s">
        <v>38</v>
      </c>
      <c r="Q6" s="92" t="s">
        <v>39</v>
      </c>
      <c r="R6" s="82"/>
      <c r="S6" s="69"/>
      <c r="T6" s="90" t="s">
        <v>37</v>
      </c>
      <c r="U6" s="91" t="s">
        <v>38</v>
      </c>
      <c r="V6" s="92" t="s">
        <v>39</v>
      </c>
      <c r="W6" s="82"/>
      <c r="X6" s="69"/>
      <c r="Y6" s="90" t="s">
        <v>37</v>
      </c>
      <c r="Z6" s="91" t="s">
        <v>38</v>
      </c>
      <c r="AA6" s="92" t="s">
        <v>39</v>
      </c>
      <c r="AB6" s="82"/>
      <c r="AC6" s="69"/>
      <c r="AD6" s="90" t="s">
        <v>37</v>
      </c>
      <c r="AE6" s="91" t="s">
        <v>38</v>
      </c>
      <c r="AF6" s="92" t="s">
        <v>39</v>
      </c>
      <c r="AG6" s="82"/>
      <c r="AH6" s="69"/>
      <c r="AI6" s="90" t="s">
        <v>37</v>
      </c>
      <c r="AJ6" s="91" t="s">
        <v>38</v>
      </c>
      <c r="AK6" s="92" t="s">
        <v>39</v>
      </c>
      <c r="AL6" s="82"/>
      <c r="AM6" s="69"/>
      <c r="AN6" s="90" t="s">
        <v>37</v>
      </c>
      <c r="AO6" s="91" t="s">
        <v>38</v>
      </c>
      <c r="AP6" s="92" t="s">
        <v>39</v>
      </c>
      <c r="AQ6" s="82"/>
      <c r="AR6" s="69"/>
      <c r="AS6" s="90" t="s">
        <v>37</v>
      </c>
      <c r="AT6" s="91" t="s">
        <v>38</v>
      </c>
      <c r="AU6" s="92" t="s">
        <v>39</v>
      </c>
      <c r="AV6" s="82"/>
      <c r="AW6" s="69"/>
      <c r="AX6" s="90" t="s">
        <v>37</v>
      </c>
      <c r="AY6" s="91" t="s">
        <v>38</v>
      </c>
      <c r="AZ6" s="92" t="s">
        <v>39</v>
      </c>
      <c r="BA6" s="82"/>
      <c r="BB6" s="69"/>
      <c r="BC6" s="90" t="s">
        <v>37</v>
      </c>
      <c r="BD6" s="91" t="s">
        <v>38</v>
      </c>
      <c r="BE6" s="92" t="s">
        <v>39</v>
      </c>
      <c r="BF6" s="82"/>
      <c r="BG6" s="69"/>
      <c r="BH6" s="90" t="s">
        <v>37</v>
      </c>
      <c r="BI6" s="91" t="s">
        <v>38</v>
      </c>
      <c r="BJ6" s="92" t="s">
        <v>39</v>
      </c>
      <c r="BK6" s="78"/>
    </row>
    <row r="7" spans="2:64" x14ac:dyDescent="0.25">
      <c r="B7" s="71"/>
      <c r="C7" s="69"/>
      <c r="D7" s="69"/>
      <c r="E7" s="93" t="s">
        <v>78</v>
      </c>
      <c r="F7" s="53">
        <f>SUM(Financing!E8:O8)</f>
        <v>171</v>
      </c>
      <c r="G7" s="54" t="s">
        <v>40</v>
      </c>
      <c r="H7" s="82"/>
      <c r="I7" s="69"/>
      <c r="J7" s="93" t="s">
        <v>78</v>
      </c>
      <c r="K7" s="53">
        <f>SUM(Financing!R8:AB8)</f>
        <v>0</v>
      </c>
      <c r="L7" s="54" t="s">
        <v>40</v>
      </c>
      <c r="M7" s="82"/>
      <c r="N7" s="69"/>
      <c r="O7" s="93" t="s">
        <v>78</v>
      </c>
      <c r="P7" s="53">
        <f>SUM(Financing!AE8:AO8)</f>
        <v>0</v>
      </c>
      <c r="Q7" s="54" t="s">
        <v>40</v>
      </c>
      <c r="R7" s="82"/>
      <c r="S7" s="69"/>
      <c r="T7" s="93" t="s">
        <v>78</v>
      </c>
      <c r="U7" s="53">
        <f>SUM(Financing!AR8:BB8)</f>
        <v>0</v>
      </c>
      <c r="V7" s="54" t="s">
        <v>40</v>
      </c>
      <c r="W7" s="82"/>
      <c r="X7" s="69"/>
      <c r="Y7" s="93" t="s">
        <v>78</v>
      </c>
      <c r="Z7" s="53">
        <f>SUM(Financing!BE8:BO8)</f>
        <v>0</v>
      </c>
      <c r="AA7" s="54" t="s">
        <v>40</v>
      </c>
      <c r="AB7" s="82"/>
      <c r="AC7" s="69"/>
      <c r="AD7" s="93" t="s">
        <v>78</v>
      </c>
      <c r="AE7" s="53">
        <f>SUM(Financing!BR8:CB8)</f>
        <v>0</v>
      </c>
      <c r="AF7" s="54" t="s">
        <v>40</v>
      </c>
      <c r="AG7" s="82"/>
      <c r="AH7" s="69"/>
      <c r="AI7" s="93" t="s">
        <v>78</v>
      </c>
      <c r="AJ7" s="53">
        <f>SUM(Financing!CE8:CO8)</f>
        <v>0</v>
      </c>
      <c r="AK7" s="54" t="s">
        <v>40</v>
      </c>
      <c r="AL7" s="82"/>
      <c r="AM7" s="69"/>
      <c r="AN7" s="93" t="s">
        <v>78</v>
      </c>
      <c r="AO7" s="53">
        <f>SUM(Financing!CR8:DB8)</f>
        <v>0</v>
      </c>
      <c r="AP7" s="54" t="s">
        <v>40</v>
      </c>
      <c r="AQ7" s="82"/>
      <c r="AR7" s="69"/>
      <c r="AS7" s="93" t="s">
        <v>78</v>
      </c>
      <c r="AT7" s="53">
        <f>SUM(Financing!DE8:DO8)</f>
        <v>0</v>
      </c>
      <c r="AU7" s="54" t="s">
        <v>40</v>
      </c>
      <c r="AV7" s="82"/>
      <c r="AW7" s="69"/>
      <c r="AX7" s="93" t="s">
        <v>78</v>
      </c>
      <c r="AY7" s="53">
        <f>SUM(Financing!DR8:EB8)</f>
        <v>0</v>
      </c>
      <c r="AZ7" s="54" t="s">
        <v>40</v>
      </c>
      <c r="BA7" s="82"/>
      <c r="BB7" s="69"/>
      <c r="BC7" s="93" t="s">
        <v>78</v>
      </c>
      <c r="BD7" s="53">
        <f>SUM(Financing!EE8:EO8)</f>
        <v>0</v>
      </c>
      <c r="BE7" s="54" t="s">
        <v>40</v>
      </c>
      <c r="BF7" s="82"/>
      <c r="BG7" s="69"/>
      <c r="BH7" s="93" t="s">
        <v>78</v>
      </c>
      <c r="BI7" s="53">
        <f>SUM(Financing!ER8:FB8)</f>
        <v>0</v>
      </c>
      <c r="BJ7" s="54" t="s">
        <v>40</v>
      </c>
      <c r="BK7" s="78"/>
    </row>
    <row r="8" spans="2:64" x14ac:dyDescent="0.25">
      <c r="B8" s="71"/>
      <c r="C8" s="69"/>
      <c r="D8" s="69"/>
      <c r="E8" s="93" t="s">
        <v>104</v>
      </c>
      <c r="F8" s="55">
        <v>0</v>
      </c>
      <c r="G8" s="56"/>
      <c r="H8" s="82"/>
      <c r="I8" s="69"/>
      <c r="J8" s="93" t="s">
        <v>104</v>
      </c>
      <c r="K8" s="55">
        <v>0</v>
      </c>
      <c r="L8" s="56"/>
      <c r="M8" s="82"/>
      <c r="N8" s="69"/>
      <c r="O8" s="93" t="s">
        <v>104</v>
      </c>
      <c r="P8" s="55">
        <v>0</v>
      </c>
      <c r="Q8" s="56"/>
      <c r="R8" s="82"/>
      <c r="S8" s="69"/>
      <c r="T8" s="93" t="s">
        <v>104</v>
      </c>
      <c r="U8" s="55">
        <v>0</v>
      </c>
      <c r="V8" s="56"/>
      <c r="W8" s="82"/>
      <c r="X8" s="69"/>
      <c r="Y8" s="93" t="s">
        <v>104</v>
      </c>
      <c r="Z8" s="55">
        <v>0</v>
      </c>
      <c r="AA8" s="56"/>
      <c r="AB8" s="82"/>
      <c r="AC8" s="69"/>
      <c r="AD8" s="93" t="s">
        <v>104</v>
      </c>
      <c r="AE8" s="55">
        <v>0</v>
      </c>
      <c r="AF8" s="56"/>
      <c r="AG8" s="82"/>
      <c r="AH8" s="69"/>
      <c r="AI8" s="93" t="s">
        <v>104</v>
      </c>
      <c r="AJ8" s="55">
        <v>0</v>
      </c>
      <c r="AK8" s="56"/>
      <c r="AL8" s="82"/>
      <c r="AM8" s="69"/>
      <c r="AN8" s="93" t="s">
        <v>104</v>
      </c>
      <c r="AO8" s="55">
        <v>0</v>
      </c>
      <c r="AP8" s="56"/>
      <c r="AQ8" s="82"/>
      <c r="AR8" s="69"/>
      <c r="AS8" s="93" t="s">
        <v>104</v>
      </c>
      <c r="AT8" s="55">
        <v>0</v>
      </c>
      <c r="AU8" s="56"/>
      <c r="AV8" s="82"/>
      <c r="AW8" s="69"/>
      <c r="AX8" s="93" t="s">
        <v>104</v>
      </c>
      <c r="AY8" s="55">
        <v>0</v>
      </c>
      <c r="AZ8" s="56"/>
      <c r="BA8" s="82"/>
      <c r="BB8" s="69"/>
      <c r="BC8" s="93" t="s">
        <v>104</v>
      </c>
      <c r="BD8" s="55">
        <v>0</v>
      </c>
      <c r="BE8" s="56"/>
      <c r="BF8" s="82"/>
      <c r="BG8" s="69"/>
      <c r="BH8" s="93" t="s">
        <v>104</v>
      </c>
      <c r="BI8" s="55">
        <v>0</v>
      </c>
      <c r="BJ8" s="56"/>
      <c r="BK8" s="78"/>
    </row>
    <row r="9" spans="2:64" ht="15.75" thickBot="1" x14ac:dyDescent="0.3">
      <c r="B9" s="71"/>
      <c r="C9" s="69"/>
      <c r="D9" s="69"/>
      <c r="E9" s="94" t="s">
        <v>44</v>
      </c>
      <c r="F9" s="57">
        <v>0</v>
      </c>
      <c r="G9" s="58"/>
      <c r="H9" s="82"/>
      <c r="I9" s="69"/>
      <c r="J9" s="94" t="s">
        <v>44</v>
      </c>
      <c r="K9" s="57">
        <v>0</v>
      </c>
      <c r="L9" s="58"/>
      <c r="M9" s="82"/>
      <c r="N9" s="69"/>
      <c r="O9" s="94" t="s">
        <v>44</v>
      </c>
      <c r="P9" s="57">
        <v>0</v>
      </c>
      <c r="Q9" s="58"/>
      <c r="R9" s="82"/>
      <c r="S9" s="69"/>
      <c r="T9" s="94" t="s">
        <v>44</v>
      </c>
      <c r="U9" s="57">
        <v>0</v>
      </c>
      <c r="V9" s="58"/>
      <c r="W9" s="82"/>
      <c r="X9" s="69"/>
      <c r="Y9" s="94" t="s">
        <v>44</v>
      </c>
      <c r="Z9" s="57">
        <v>0</v>
      </c>
      <c r="AA9" s="58"/>
      <c r="AB9" s="82"/>
      <c r="AC9" s="69"/>
      <c r="AD9" s="94" t="s">
        <v>44</v>
      </c>
      <c r="AE9" s="57">
        <v>0</v>
      </c>
      <c r="AF9" s="58"/>
      <c r="AG9" s="82"/>
      <c r="AH9" s="69"/>
      <c r="AI9" s="94" t="s">
        <v>44</v>
      </c>
      <c r="AJ9" s="57">
        <v>0</v>
      </c>
      <c r="AK9" s="58"/>
      <c r="AL9" s="82"/>
      <c r="AM9" s="69"/>
      <c r="AN9" s="94" t="s">
        <v>44</v>
      </c>
      <c r="AO9" s="57">
        <v>0</v>
      </c>
      <c r="AP9" s="58"/>
      <c r="AQ9" s="82"/>
      <c r="AR9" s="69"/>
      <c r="AS9" s="94" t="s">
        <v>44</v>
      </c>
      <c r="AT9" s="57">
        <v>0</v>
      </c>
      <c r="AU9" s="58"/>
      <c r="AV9" s="82"/>
      <c r="AW9" s="69"/>
      <c r="AX9" s="94" t="s">
        <v>44</v>
      </c>
      <c r="AY9" s="57">
        <v>0</v>
      </c>
      <c r="AZ9" s="58"/>
      <c r="BA9" s="82"/>
      <c r="BB9" s="69"/>
      <c r="BC9" s="94" t="s">
        <v>44</v>
      </c>
      <c r="BD9" s="57">
        <v>0</v>
      </c>
      <c r="BE9" s="58"/>
      <c r="BF9" s="82"/>
      <c r="BG9" s="69"/>
      <c r="BH9" s="94" t="s">
        <v>44</v>
      </c>
      <c r="BI9" s="57">
        <v>0</v>
      </c>
      <c r="BJ9" s="58"/>
      <c r="BK9" s="78"/>
    </row>
    <row r="10" spans="2:64" ht="15.75" thickBot="1" x14ac:dyDescent="0.3">
      <c r="B10" s="71"/>
      <c r="C10" s="69"/>
      <c r="D10" s="69"/>
      <c r="E10" s="95" t="s">
        <v>43</v>
      </c>
      <c r="F10" s="189">
        <f>SUM(F7:F9)</f>
        <v>171</v>
      </c>
      <c r="G10" s="190"/>
      <c r="H10" s="82"/>
      <c r="I10" s="69"/>
      <c r="J10" s="95" t="s">
        <v>43</v>
      </c>
      <c r="K10" s="189">
        <f t="shared" ref="K10" si="0">SUM(K7:K9)</f>
        <v>0</v>
      </c>
      <c r="L10" s="190"/>
      <c r="M10" s="82"/>
      <c r="N10" s="69"/>
      <c r="O10" s="95" t="s">
        <v>43</v>
      </c>
      <c r="P10" s="189">
        <f t="shared" ref="P10" si="1">SUM(P7:P9)</f>
        <v>0</v>
      </c>
      <c r="Q10" s="190"/>
      <c r="R10" s="82"/>
      <c r="S10" s="69"/>
      <c r="T10" s="95" t="s">
        <v>43</v>
      </c>
      <c r="U10" s="189">
        <f t="shared" ref="U10" si="2">SUM(U7:U9)</f>
        <v>0</v>
      </c>
      <c r="V10" s="190"/>
      <c r="W10" s="82"/>
      <c r="X10" s="69"/>
      <c r="Y10" s="95" t="s">
        <v>43</v>
      </c>
      <c r="Z10" s="189">
        <f t="shared" ref="Z10" si="3">SUM(Z7:Z9)</f>
        <v>0</v>
      </c>
      <c r="AA10" s="190"/>
      <c r="AB10" s="82"/>
      <c r="AC10" s="69"/>
      <c r="AD10" s="95" t="s">
        <v>43</v>
      </c>
      <c r="AE10" s="189">
        <f t="shared" ref="AE10" si="4">SUM(AE7:AE9)</f>
        <v>0</v>
      </c>
      <c r="AF10" s="190"/>
      <c r="AG10" s="82"/>
      <c r="AH10" s="69"/>
      <c r="AI10" s="95" t="s">
        <v>43</v>
      </c>
      <c r="AJ10" s="189">
        <f t="shared" ref="AJ10" si="5">SUM(AJ7:AJ9)</f>
        <v>0</v>
      </c>
      <c r="AK10" s="190"/>
      <c r="AL10" s="82"/>
      <c r="AM10" s="69"/>
      <c r="AN10" s="95" t="s">
        <v>43</v>
      </c>
      <c r="AO10" s="189">
        <f t="shared" ref="AO10" si="6">SUM(AO7:AO9)</f>
        <v>0</v>
      </c>
      <c r="AP10" s="190"/>
      <c r="AQ10" s="82"/>
      <c r="AR10" s="69"/>
      <c r="AS10" s="95" t="s">
        <v>43</v>
      </c>
      <c r="AT10" s="189">
        <f t="shared" ref="AT10" si="7">SUM(AT7:AT9)</f>
        <v>0</v>
      </c>
      <c r="AU10" s="190"/>
      <c r="AV10" s="82"/>
      <c r="AW10" s="69"/>
      <c r="AX10" s="95" t="s">
        <v>43</v>
      </c>
      <c r="AY10" s="189">
        <f t="shared" ref="AY10" si="8">SUM(AY7:AY9)</f>
        <v>0</v>
      </c>
      <c r="AZ10" s="190"/>
      <c r="BA10" s="82"/>
      <c r="BB10" s="69"/>
      <c r="BC10" s="95" t="s">
        <v>43</v>
      </c>
      <c r="BD10" s="189">
        <f t="shared" ref="BD10" si="9">SUM(BD7:BD9)</f>
        <v>0</v>
      </c>
      <c r="BE10" s="190"/>
      <c r="BF10" s="82"/>
      <c r="BG10" s="69"/>
      <c r="BH10" s="95" t="s">
        <v>43</v>
      </c>
      <c r="BI10" s="189">
        <f t="shared" ref="BI10" si="10">SUM(BI7:BI9)</f>
        <v>0</v>
      </c>
      <c r="BJ10" s="190"/>
      <c r="BK10" s="78"/>
    </row>
    <row r="11" spans="2:64" ht="15.75" thickBot="1" x14ac:dyDescent="0.3">
      <c r="B11" s="71"/>
      <c r="C11" s="69"/>
      <c r="D11" s="69"/>
      <c r="E11" s="69"/>
      <c r="F11" s="69"/>
      <c r="G11" s="69"/>
      <c r="H11" s="82"/>
      <c r="I11" s="69"/>
      <c r="J11" s="69"/>
      <c r="K11" s="69"/>
      <c r="L11" s="69"/>
      <c r="M11" s="82"/>
      <c r="N11" s="69"/>
      <c r="O11" s="69"/>
      <c r="P11" s="69"/>
      <c r="Q11" s="69"/>
      <c r="R11" s="82"/>
      <c r="S11" s="69"/>
      <c r="T11" s="69"/>
      <c r="U11" s="69"/>
      <c r="V11" s="69"/>
      <c r="W11" s="82"/>
      <c r="X11" s="69"/>
      <c r="Y11" s="69"/>
      <c r="Z11" s="69"/>
      <c r="AA11" s="69"/>
      <c r="AB11" s="82"/>
      <c r="AC11" s="69"/>
      <c r="AD11" s="69"/>
      <c r="AE11" s="69"/>
      <c r="AF11" s="69"/>
      <c r="AG11" s="82"/>
      <c r="AH11" s="69"/>
      <c r="AI11" s="69"/>
      <c r="AJ11" s="69"/>
      <c r="AK11" s="69"/>
      <c r="AL11" s="82"/>
      <c r="AM11" s="69"/>
      <c r="AN11" s="69"/>
      <c r="AO11" s="69"/>
      <c r="AP11" s="69"/>
      <c r="AQ11" s="82"/>
      <c r="AR11" s="69"/>
      <c r="AS11" s="69"/>
      <c r="AT11" s="69"/>
      <c r="AU11" s="69"/>
      <c r="AV11" s="82"/>
      <c r="AW11" s="69"/>
      <c r="AX11" s="69"/>
      <c r="AY11" s="69"/>
      <c r="AZ11" s="69"/>
      <c r="BA11" s="82"/>
      <c r="BB11" s="69"/>
      <c r="BC11" s="69"/>
      <c r="BD11" s="69"/>
      <c r="BE11" s="69"/>
      <c r="BF11" s="82"/>
      <c r="BG11" s="69"/>
      <c r="BH11" s="69"/>
      <c r="BI11" s="69"/>
      <c r="BJ11" s="69"/>
      <c r="BK11" s="78"/>
    </row>
    <row r="12" spans="2:64" ht="15.75" thickBot="1" x14ac:dyDescent="0.3">
      <c r="B12" s="71"/>
      <c r="C12" s="69"/>
      <c r="D12" s="69"/>
      <c r="E12" s="191" t="s">
        <v>41</v>
      </c>
      <c r="F12" s="192"/>
      <c r="G12" s="193"/>
      <c r="H12" s="82"/>
      <c r="I12" s="69"/>
      <c r="J12" s="191" t="s">
        <v>41</v>
      </c>
      <c r="K12" s="192"/>
      <c r="L12" s="193"/>
      <c r="M12" s="82"/>
      <c r="N12" s="69"/>
      <c r="O12" s="191" t="s">
        <v>41</v>
      </c>
      <c r="P12" s="192"/>
      <c r="Q12" s="193"/>
      <c r="R12" s="82"/>
      <c r="S12" s="69"/>
      <c r="T12" s="191" t="s">
        <v>41</v>
      </c>
      <c r="U12" s="192"/>
      <c r="V12" s="193"/>
      <c r="W12" s="82"/>
      <c r="X12" s="69"/>
      <c r="Y12" s="191" t="s">
        <v>41</v>
      </c>
      <c r="Z12" s="192"/>
      <c r="AA12" s="193"/>
      <c r="AB12" s="82"/>
      <c r="AC12" s="69"/>
      <c r="AD12" s="191" t="s">
        <v>41</v>
      </c>
      <c r="AE12" s="192"/>
      <c r="AF12" s="193"/>
      <c r="AG12" s="82"/>
      <c r="AH12" s="69"/>
      <c r="AI12" s="191" t="s">
        <v>41</v>
      </c>
      <c r="AJ12" s="192"/>
      <c r="AK12" s="193"/>
      <c r="AL12" s="82"/>
      <c r="AM12" s="69"/>
      <c r="AN12" s="191" t="s">
        <v>41</v>
      </c>
      <c r="AO12" s="192"/>
      <c r="AP12" s="193"/>
      <c r="AQ12" s="82"/>
      <c r="AR12" s="69"/>
      <c r="AS12" s="191" t="s">
        <v>41</v>
      </c>
      <c r="AT12" s="192"/>
      <c r="AU12" s="193"/>
      <c r="AV12" s="82"/>
      <c r="AW12" s="69"/>
      <c r="AX12" s="191" t="s">
        <v>41</v>
      </c>
      <c r="AY12" s="192"/>
      <c r="AZ12" s="193"/>
      <c r="BA12" s="82"/>
      <c r="BB12" s="69"/>
      <c r="BC12" s="191" t="s">
        <v>41</v>
      </c>
      <c r="BD12" s="192"/>
      <c r="BE12" s="193"/>
      <c r="BF12" s="82"/>
      <c r="BG12" s="69"/>
      <c r="BH12" s="191" t="s">
        <v>41</v>
      </c>
      <c r="BI12" s="192"/>
      <c r="BJ12" s="193"/>
      <c r="BK12" s="78"/>
    </row>
    <row r="13" spans="2:64" ht="15.75" thickBot="1" x14ac:dyDescent="0.3">
      <c r="B13" s="71"/>
      <c r="C13" s="69"/>
      <c r="D13" s="69"/>
      <c r="E13" s="187" t="s">
        <v>53</v>
      </c>
      <c r="F13" s="188"/>
      <c r="G13" s="43">
        <f>SUM(F14:F17)</f>
        <v>0</v>
      </c>
      <c r="H13" s="82"/>
      <c r="I13" s="69"/>
      <c r="J13" s="187" t="s">
        <v>53</v>
      </c>
      <c r="K13" s="188"/>
      <c r="L13" s="43">
        <f t="shared" ref="L13" si="11">SUM(K14:K17)</f>
        <v>0</v>
      </c>
      <c r="M13" s="82"/>
      <c r="N13" s="69"/>
      <c r="O13" s="187" t="s">
        <v>53</v>
      </c>
      <c r="P13" s="188"/>
      <c r="Q13" s="43">
        <f t="shared" ref="Q13" si="12">SUM(P14:P17)</f>
        <v>0</v>
      </c>
      <c r="R13" s="82"/>
      <c r="S13" s="69"/>
      <c r="T13" s="187" t="s">
        <v>53</v>
      </c>
      <c r="U13" s="188"/>
      <c r="V13" s="43">
        <f t="shared" ref="V13" si="13">SUM(U14:U17)</f>
        <v>0</v>
      </c>
      <c r="W13" s="82"/>
      <c r="X13" s="69"/>
      <c r="Y13" s="187" t="s">
        <v>53</v>
      </c>
      <c r="Z13" s="188"/>
      <c r="AA13" s="43">
        <f t="shared" ref="AA13" si="14">SUM(Z14:Z17)</f>
        <v>0</v>
      </c>
      <c r="AB13" s="82"/>
      <c r="AC13" s="69"/>
      <c r="AD13" s="187" t="s">
        <v>53</v>
      </c>
      <c r="AE13" s="188"/>
      <c r="AF13" s="43">
        <f t="shared" ref="AF13" si="15">SUM(AE14:AE17)</f>
        <v>0</v>
      </c>
      <c r="AG13" s="82"/>
      <c r="AH13" s="69"/>
      <c r="AI13" s="187" t="s">
        <v>53</v>
      </c>
      <c r="AJ13" s="188"/>
      <c r="AK13" s="43">
        <f t="shared" ref="AK13" si="16">SUM(AJ14:AJ17)</f>
        <v>0</v>
      </c>
      <c r="AL13" s="82"/>
      <c r="AM13" s="69"/>
      <c r="AN13" s="187" t="s">
        <v>53</v>
      </c>
      <c r="AO13" s="188"/>
      <c r="AP13" s="43">
        <f t="shared" ref="AP13" si="17">SUM(AO14:AO17)</f>
        <v>0</v>
      </c>
      <c r="AQ13" s="82"/>
      <c r="AR13" s="69"/>
      <c r="AS13" s="187" t="s">
        <v>53</v>
      </c>
      <c r="AT13" s="188"/>
      <c r="AU13" s="43">
        <f t="shared" ref="AU13" si="18">SUM(AT14:AT17)</f>
        <v>0</v>
      </c>
      <c r="AV13" s="82"/>
      <c r="AW13" s="69"/>
      <c r="AX13" s="187" t="s">
        <v>53</v>
      </c>
      <c r="AY13" s="188"/>
      <c r="AZ13" s="43">
        <f t="shared" ref="AZ13" si="19">SUM(AY14:AY17)</f>
        <v>0</v>
      </c>
      <c r="BA13" s="82"/>
      <c r="BB13" s="69"/>
      <c r="BC13" s="187" t="s">
        <v>53</v>
      </c>
      <c r="BD13" s="188"/>
      <c r="BE13" s="43">
        <f t="shared" ref="BE13" si="20">SUM(BD14:BD17)</f>
        <v>0</v>
      </c>
      <c r="BF13" s="82"/>
      <c r="BG13" s="69"/>
      <c r="BH13" s="187" t="s">
        <v>53</v>
      </c>
      <c r="BI13" s="188"/>
      <c r="BJ13" s="43">
        <f t="shared" ref="BJ13" si="21">SUM(BI14:BI17)</f>
        <v>0</v>
      </c>
      <c r="BK13" s="78"/>
    </row>
    <row r="14" spans="2:64" x14ac:dyDescent="0.25">
      <c r="B14" s="71"/>
      <c r="C14" s="69"/>
      <c r="D14" s="69"/>
      <c r="E14" s="84" t="s">
        <v>42</v>
      </c>
      <c r="F14" s="51">
        <v>0</v>
      </c>
      <c r="G14" s="96"/>
      <c r="H14" s="82"/>
      <c r="I14" s="69"/>
      <c r="J14" s="84" t="s">
        <v>42</v>
      </c>
      <c r="K14" s="51">
        <v>0</v>
      </c>
      <c r="L14" s="96"/>
      <c r="M14" s="82"/>
      <c r="N14" s="69"/>
      <c r="O14" s="84" t="s">
        <v>42</v>
      </c>
      <c r="P14" s="51">
        <v>0</v>
      </c>
      <c r="Q14" s="96"/>
      <c r="R14" s="82"/>
      <c r="S14" s="69"/>
      <c r="T14" s="84" t="s">
        <v>42</v>
      </c>
      <c r="U14" s="51">
        <v>0</v>
      </c>
      <c r="V14" s="96"/>
      <c r="W14" s="82"/>
      <c r="X14" s="69"/>
      <c r="Y14" s="84" t="s">
        <v>42</v>
      </c>
      <c r="Z14" s="51">
        <v>0</v>
      </c>
      <c r="AA14" s="96"/>
      <c r="AB14" s="82"/>
      <c r="AC14" s="69"/>
      <c r="AD14" s="84" t="s">
        <v>42</v>
      </c>
      <c r="AE14" s="51">
        <v>0</v>
      </c>
      <c r="AF14" s="96"/>
      <c r="AG14" s="82"/>
      <c r="AH14" s="69"/>
      <c r="AI14" s="84" t="s">
        <v>42</v>
      </c>
      <c r="AJ14" s="51">
        <v>0</v>
      </c>
      <c r="AK14" s="96"/>
      <c r="AL14" s="82"/>
      <c r="AM14" s="69"/>
      <c r="AN14" s="84" t="s">
        <v>42</v>
      </c>
      <c r="AO14" s="51">
        <v>0</v>
      </c>
      <c r="AP14" s="96"/>
      <c r="AQ14" s="82"/>
      <c r="AR14" s="69"/>
      <c r="AS14" s="84" t="s">
        <v>42</v>
      </c>
      <c r="AT14" s="51">
        <v>0</v>
      </c>
      <c r="AU14" s="96"/>
      <c r="AV14" s="82"/>
      <c r="AW14" s="69"/>
      <c r="AX14" s="84" t="s">
        <v>42</v>
      </c>
      <c r="AY14" s="51">
        <v>0</v>
      </c>
      <c r="AZ14" s="96"/>
      <c r="BA14" s="82"/>
      <c r="BB14" s="69"/>
      <c r="BC14" s="84" t="s">
        <v>42</v>
      </c>
      <c r="BD14" s="51">
        <v>0</v>
      </c>
      <c r="BE14" s="96"/>
      <c r="BF14" s="82"/>
      <c r="BG14" s="69"/>
      <c r="BH14" s="84" t="s">
        <v>42</v>
      </c>
      <c r="BI14" s="51">
        <v>0</v>
      </c>
      <c r="BJ14" s="96"/>
      <c r="BK14" s="78"/>
    </row>
    <row r="15" spans="2:64" x14ac:dyDescent="0.25">
      <c r="B15" s="71"/>
      <c r="C15" s="69"/>
      <c r="D15" s="69"/>
      <c r="E15" s="86" t="s">
        <v>48</v>
      </c>
      <c r="F15" s="52">
        <v>0</v>
      </c>
      <c r="G15" s="97"/>
      <c r="H15" s="82"/>
      <c r="I15" s="69"/>
      <c r="J15" s="86" t="s">
        <v>48</v>
      </c>
      <c r="K15" s="52">
        <v>0</v>
      </c>
      <c r="L15" s="97"/>
      <c r="M15" s="82"/>
      <c r="N15" s="69"/>
      <c r="O15" s="86" t="s">
        <v>48</v>
      </c>
      <c r="P15" s="52">
        <v>0</v>
      </c>
      <c r="Q15" s="97"/>
      <c r="R15" s="82"/>
      <c r="S15" s="69"/>
      <c r="T15" s="86" t="s">
        <v>48</v>
      </c>
      <c r="U15" s="52">
        <v>0</v>
      </c>
      <c r="V15" s="97"/>
      <c r="W15" s="82"/>
      <c r="X15" s="69"/>
      <c r="Y15" s="86" t="s">
        <v>48</v>
      </c>
      <c r="Z15" s="52">
        <v>0</v>
      </c>
      <c r="AA15" s="97"/>
      <c r="AB15" s="82"/>
      <c r="AC15" s="69"/>
      <c r="AD15" s="86" t="s">
        <v>48</v>
      </c>
      <c r="AE15" s="52">
        <v>0</v>
      </c>
      <c r="AF15" s="97"/>
      <c r="AG15" s="82"/>
      <c r="AH15" s="69"/>
      <c r="AI15" s="86" t="s">
        <v>48</v>
      </c>
      <c r="AJ15" s="52">
        <v>0</v>
      </c>
      <c r="AK15" s="97"/>
      <c r="AL15" s="82"/>
      <c r="AM15" s="69"/>
      <c r="AN15" s="86" t="s">
        <v>48</v>
      </c>
      <c r="AO15" s="52">
        <v>0</v>
      </c>
      <c r="AP15" s="97"/>
      <c r="AQ15" s="82"/>
      <c r="AR15" s="69"/>
      <c r="AS15" s="86" t="s">
        <v>48</v>
      </c>
      <c r="AT15" s="52">
        <v>0</v>
      </c>
      <c r="AU15" s="97"/>
      <c r="AV15" s="82"/>
      <c r="AW15" s="69"/>
      <c r="AX15" s="86" t="s">
        <v>48</v>
      </c>
      <c r="AY15" s="52">
        <v>0</v>
      </c>
      <c r="AZ15" s="97"/>
      <c r="BA15" s="82"/>
      <c r="BB15" s="69"/>
      <c r="BC15" s="86" t="s">
        <v>48</v>
      </c>
      <c r="BD15" s="52">
        <v>0</v>
      </c>
      <c r="BE15" s="97"/>
      <c r="BF15" s="82"/>
      <c r="BG15" s="69"/>
      <c r="BH15" s="86" t="s">
        <v>48</v>
      </c>
      <c r="BI15" s="52">
        <v>0</v>
      </c>
      <c r="BJ15" s="97"/>
      <c r="BK15" s="78"/>
    </row>
    <row r="16" spans="2:64" x14ac:dyDescent="0.25">
      <c r="B16" s="71"/>
      <c r="C16" s="69"/>
      <c r="D16" s="69"/>
      <c r="E16" s="86" t="s">
        <v>47</v>
      </c>
      <c r="F16" s="52">
        <v>0</v>
      </c>
      <c r="G16" s="97"/>
      <c r="H16" s="82"/>
      <c r="I16" s="69"/>
      <c r="J16" s="86" t="s">
        <v>47</v>
      </c>
      <c r="K16" s="52">
        <v>0</v>
      </c>
      <c r="L16" s="97"/>
      <c r="M16" s="82"/>
      <c r="N16" s="69"/>
      <c r="O16" s="86" t="s">
        <v>47</v>
      </c>
      <c r="P16" s="52">
        <v>0</v>
      </c>
      <c r="Q16" s="97"/>
      <c r="R16" s="82"/>
      <c r="S16" s="69"/>
      <c r="T16" s="86" t="s">
        <v>47</v>
      </c>
      <c r="U16" s="52">
        <v>0</v>
      </c>
      <c r="V16" s="97"/>
      <c r="W16" s="82"/>
      <c r="X16" s="69"/>
      <c r="Y16" s="86" t="s">
        <v>47</v>
      </c>
      <c r="Z16" s="52">
        <v>0</v>
      </c>
      <c r="AA16" s="97"/>
      <c r="AB16" s="82"/>
      <c r="AC16" s="69"/>
      <c r="AD16" s="86" t="s">
        <v>47</v>
      </c>
      <c r="AE16" s="52">
        <v>0</v>
      </c>
      <c r="AF16" s="97"/>
      <c r="AG16" s="82"/>
      <c r="AH16" s="69"/>
      <c r="AI16" s="86" t="s">
        <v>47</v>
      </c>
      <c r="AJ16" s="52">
        <v>0</v>
      </c>
      <c r="AK16" s="97"/>
      <c r="AL16" s="82"/>
      <c r="AM16" s="69"/>
      <c r="AN16" s="86" t="s">
        <v>47</v>
      </c>
      <c r="AO16" s="52">
        <v>0</v>
      </c>
      <c r="AP16" s="97"/>
      <c r="AQ16" s="82"/>
      <c r="AR16" s="69"/>
      <c r="AS16" s="86" t="s">
        <v>47</v>
      </c>
      <c r="AT16" s="52">
        <v>0</v>
      </c>
      <c r="AU16" s="97"/>
      <c r="AV16" s="82"/>
      <c r="AW16" s="69"/>
      <c r="AX16" s="86" t="s">
        <v>47</v>
      </c>
      <c r="AY16" s="52">
        <v>0</v>
      </c>
      <c r="AZ16" s="97"/>
      <c r="BA16" s="82"/>
      <c r="BB16" s="69"/>
      <c r="BC16" s="86" t="s">
        <v>47</v>
      </c>
      <c r="BD16" s="52">
        <v>0</v>
      </c>
      <c r="BE16" s="97"/>
      <c r="BF16" s="82"/>
      <c r="BG16" s="69"/>
      <c r="BH16" s="86" t="s">
        <v>47</v>
      </c>
      <c r="BI16" s="52">
        <v>0</v>
      </c>
      <c r="BJ16" s="97"/>
      <c r="BK16" s="78"/>
    </row>
    <row r="17" spans="2:63" ht="15.75" thickBot="1" x14ac:dyDescent="0.3">
      <c r="B17" s="71"/>
      <c r="C17" s="69"/>
      <c r="D17" s="69"/>
      <c r="E17" s="87" t="s">
        <v>49</v>
      </c>
      <c r="F17" s="50">
        <v>0</v>
      </c>
      <c r="G17" s="98"/>
      <c r="H17" s="82"/>
      <c r="I17" s="69"/>
      <c r="J17" s="87" t="s">
        <v>49</v>
      </c>
      <c r="K17" s="50">
        <v>0</v>
      </c>
      <c r="L17" s="98"/>
      <c r="M17" s="82"/>
      <c r="N17" s="69"/>
      <c r="O17" s="87" t="s">
        <v>49</v>
      </c>
      <c r="P17" s="50">
        <v>0</v>
      </c>
      <c r="Q17" s="98"/>
      <c r="R17" s="82"/>
      <c r="S17" s="69"/>
      <c r="T17" s="87" t="s">
        <v>49</v>
      </c>
      <c r="U17" s="50">
        <v>0</v>
      </c>
      <c r="V17" s="98"/>
      <c r="W17" s="82"/>
      <c r="X17" s="69"/>
      <c r="Y17" s="87" t="s">
        <v>49</v>
      </c>
      <c r="Z17" s="50">
        <v>0</v>
      </c>
      <c r="AA17" s="98"/>
      <c r="AB17" s="82"/>
      <c r="AC17" s="69"/>
      <c r="AD17" s="87" t="s">
        <v>49</v>
      </c>
      <c r="AE17" s="50">
        <v>0</v>
      </c>
      <c r="AF17" s="98"/>
      <c r="AG17" s="82"/>
      <c r="AH17" s="69"/>
      <c r="AI17" s="87" t="s">
        <v>49</v>
      </c>
      <c r="AJ17" s="50">
        <v>0</v>
      </c>
      <c r="AK17" s="98"/>
      <c r="AL17" s="82"/>
      <c r="AM17" s="69"/>
      <c r="AN17" s="87" t="s">
        <v>49</v>
      </c>
      <c r="AO17" s="50">
        <v>0</v>
      </c>
      <c r="AP17" s="98"/>
      <c r="AQ17" s="82"/>
      <c r="AR17" s="69"/>
      <c r="AS17" s="87" t="s">
        <v>49</v>
      </c>
      <c r="AT17" s="50">
        <v>0</v>
      </c>
      <c r="AU17" s="98"/>
      <c r="AV17" s="82"/>
      <c r="AW17" s="69"/>
      <c r="AX17" s="87" t="s">
        <v>49</v>
      </c>
      <c r="AY17" s="50">
        <v>0</v>
      </c>
      <c r="AZ17" s="98"/>
      <c r="BA17" s="82"/>
      <c r="BB17" s="69"/>
      <c r="BC17" s="87" t="s">
        <v>49</v>
      </c>
      <c r="BD17" s="50">
        <v>0</v>
      </c>
      <c r="BE17" s="98"/>
      <c r="BF17" s="82"/>
      <c r="BG17" s="69"/>
      <c r="BH17" s="87" t="s">
        <v>49</v>
      </c>
      <c r="BI17" s="50">
        <v>0</v>
      </c>
      <c r="BJ17" s="98"/>
      <c r="BK17" s="78"/>
    </row>
    <row r="18" spans="2:63" ht="15.75" thickBot="1" x14ac:dyDescent="0.3">
      <c r="B18" s="71"/>
      <c r="C18" s="69"/>
      <c r="D18" s="69"/>
      <c r="E18" s="187" t="s">
        <v>54</v>
      </c>
      <c r="F18" s="188"/>
      <c r="G18" s="43">
        <f>SUM(F19:F21)</f>
        <v>0</v>
      </c>
      <c r="H18" s="82"/>
      <c r="I18" s="69"/>
      <c r="J18" s="187" t="s">
        <v>54</v>
      </c>
      <c r="K18" s="188"/>
      <c r="L18" s="43">
        <f t="shared" ref="L18" si="22">SUM(K19:K21)</f>
        <v>0</v>
      </c>
      <c r="M18" s="82"/>
      <c r="N18" s="69"/>
      <c r="O18" s="187" t="s">
        <v>54</v>
      </c>
      <c r="P18" s="188"/>
      <c r="Q18" s="43">
        <f t="shared" ref="Q18" si="23">SUM(P19:P21)</f>
        <v>0</v>
      </c>
      <c r="R18" s="82"/>
      <c r="S18" s="69"/>
      <c r="T18" s="187" t="s">
        <v>54</v>
      </c>
      <c r="U18" s="188"/>
      <c r="V18" s="43">
        <f t="shared" ref="V18" si="24">SUM(U19:U21)</f>
        <v>0</v>
      </c>
      <c r="W18" s="82"/>
      <c r="X18" s="69"/>
      <c r="Y18" s="187" t="s">
        <v>54</v>
      </c>
      <c r="Z18" s="188"/>
      <c r="AA18" s="43">
        <f t="shared" ref="AA18" si="25">SUM(Z19:Z21)</f>
        <v>0</v>
      </c>
      <c r="AB18" s="82"/>
      <c r="AC18" s="69"/>
      <c r="AD18" s="187" t="s">
        <v>54</v>
      </c>
      <c r="AE18" s="188"/>
      <c r="AF18" s="43">
        <f t="shared" ref="AF18" si="26">SUM(AE19:AE21)</f>
        <v>0</v>
      </c>
      <c r="AG18" s="82"/>
      <c r="AH18" s="69"/>
      <c r="AI18" s="187" t="s">
        <v>54</v>
      </c>
      <c r="AJ18" s="188"/>
      <c r="AK18" s="43">
        <f t="shared" ref="AK18" si="27">SUM(AJ19:AJ21)</f>
        <v>0</v>
      </c>
      <c r="AL18" s="82"/>
      <c r="AM18" s="69"/>
      <c r="AN18" s="187" t="s">
        <v>54</v>
      </c>
      <c r="AO18" s="188"/>
      <c r="AP18" s="43">
        <f t="shared" ref="AP18" si="28">SUM(AO19:AO21)</f>
        <v>0</v>
      </c>
      <c r="AQ18" s="82"/>
      <c r="AR18" s="69"/>
      <c r="AS18" s="187" t="s">
        <v>54</v>
      </c>
      <c r="AT18" s="188"/>
      <c r="AU18" s="43">
        <f t="shared" ref="AU18" si="29">SUM(AT19:AT21)</f>
        <v>0</v>
      </c>
      <c r="AV18" s="82"/>
      <c r="AW18" s="69"/>
      <c r="AX18" s="187" t="s">
        <v>54</v>
      </c>
      <c r="AY18" s="188"/>
      <c r="AZ18" s="43">
        <f t="shared" ref="AZ18" si="30">SUM(AY19:AY21)</f>
        <v>0</v>
      </c>
      <c r="BA18" s="82"/>
      <c r="BB18" s="69"/>
      <c r="BC18" s="187" t="s">
        <v>54</v>
      </c>
      <c r="BD18" s="188"/>
      <c r="BE18" s="43">
        <f t="shared" ref="BE18" si="31">SUM(BD19:BD21)</f>
        <v>0</v>
      </c>
      <c r="BF18" s="82"/>
      <c r="BG18" s="69"/>
      <c r="BH18" s="187" t="s">
        <v>54</v>
      </c>
      <c r="BI18" s="188"/>
      <c r="BJ18" s="43">
        <f t="shared" ref="BJ18" si="32">SUM(BI19:BI21)</f>
        <v>0</v>
      </c>
      <c r="BK18" s="78"/>
    </row>
    <row r="19" spans="2:63" x14ac:dyDescent="0.25">
      <c r="B19" s="71"/>
      <c r="C19" s="69"/>
      <c r="D19" s="69"/>
      <c r="E19" s="84" t="s">
        <v>50</v>
      </c>
      <c r="F19" s="51">
        <v>0</v>
      </c>
      <c r="G19" s="96"/>
      <c r="H19" s="82"/>
      <c r="I19" s="69"/>
      <c r="J19" s="84" t="s">
        <v>50</v>
      </c>
      <c r="K19" s="51">
        <v>0</v>
      </c>
      <c r="L19" s="96"/>
      <c r="M19" s="82"/>
      <c r="N19" s="69"/>
      <c r="O19" s="84" t="s">
        <v>50</v>
      </c>
      <c r="P19" s="51">
        <v>0</v>
      </c>
      <c r="Q19" s="96"/>
      <c r="R19" s="82"/>
      <c r="S19" s="69"/>
      <c r="T19" s="84" t="s">
        <v>50</v>
      </c>
      <c r="U19" s="51">
        <v>0</v>
      </c>
      <c r="V19" s="96"/>
      <c r="W19" s="82"/>
      <c r="X19" s="69"/>
      <c r="Y19" s="84" t="s">
        <v>50</v>
      </c>
      <c r="Z19" s="51">
        <v>0</v>
      </c>
      <c r="AA19" s="96"/>
      <c r="AB19" s="82"/>
      <c r="AC19" s="69"/>
      <c r="AD19" s="84" t="s">
        <v>50</v>
      </c>
      <c r="AE19" s="51">
        <v>0</v>
      </c>
      <c r="AF19" s="96"/>
      <c r="AG19" s="82"/>
      <c r="AH19" s="69"/>
      <c r="AI19" s="84" t="s">
        <v>50</v>
      </c>
      <c r="AJ19" s="51">
        <v>0</v>
      </c>
      <c r="AK19" s="96"/>
      <c r="AL19" s="82"/>
      <c r="AM19" s="69"/>
      <c r="AN19" s="84" t="s">
        <v>50</v>
      </c>
      <c r="AO19" s="51">
        <v>0</v>
      </c>
      <c r="AP19" s="96"/>
      <c r="AQ19" s="82"/>
      <c r="AR19" s="69"/>
      <c r="AS19" s="84" t="s">
        <v>50</v>
      </c>
      <c r="AT19" s="51">
        <v>0</v>
      </c>
      <c r="AU19" s="96"/>
      <c r="AV19" s="82"/>
      <c r="AW19" s="69"/>
      <c r="AX19" s="84" t="s">
        <v>50</v>
      </c>
      <c r="AY19" s="51">
        <v>0</v>
      </c>
      <c r="AZ19" s="96"/>
      <c r="BA19" s="82"/>
      <c r="BB19" s="69"/>
      <c r="BC19" s="84" t="s">
        <v>50</v>
      </c>
      <c r="BD19" s="51">
        <v>0</v>
      </c>
      <c r="BE19" s="96"/>
      <c r="BF19" s="82"/>
      <c r="BG19" s="69"/>
      <c r="BH19" s="84" t="s">
        <v>50</v>
      </c>
      <c r="BI19" s="51">
        <v>0</v>
      </c>
      <c r="BJ19" s="96"/>
      <c r="BK19" s="78"/>
    </row>
    <row r="20" spans="2:63" x14ac:dyDescent="0.25">
      <c r="B20" s="71"/>
      <c r="C20" s="69"/>
      <c r="D20" s="69"/>
      <c r="E20" s="86" t="s">
        <v>51</v>
      </c>
      <c r="F20" s="52">
        <v>0</v>
      </c>
      <c r="G20" s="97"/>
      <c r="H20" s="82"/>
      <c r="I20" s="69"/>
      <c r="J20" s="86" t="s">
        <v>51</v>
      </c>
      <c r="K20" s="52">
        <v>0</v>
      </c>
      <c r="L20" s="97"/>
      <c r="M20" s="82"/>
      <c r="N20" s="69"/>
      <c r="O20" s="86" t="s">
        <v>51</v>
      </c>
      <c r="P20" s="52">
        <v>0</v>
      </c>
      <c r="Q20" s="97"/>
      <c r="R20" s="82"/>
      <c r="S20" s="69"/>
      <c r="T20" s="86" t="s">
        <v>51</v>
      </c>
      <c r="U20" s="52">
        <v>0</v>
      </c>
      <c r="V20" s="97"/>
      <c r="W20" s="82"/>
      <c r="X20" s="69"/>
      <c r="Y20" s="86" t="s">
        <v>51</v>
      </c>
      <c r="Z20" s="52">
        <v>0</v>
      </c>
      <c r="AA20" s="97"/>
      <c r="AB20" s="82"/>
      <c r="AC20" s="69"/>
      <c r="AD20" s="86" t="s">
        <v>51</v>
      </c>
      <c r="AE20" s="52">
        <v>0</v>
      </c>
      <c r="AF20" s="97"/>
      <c r="AG20" s="82"/>
      <c r="AH20" s="69"/>
      <c r="AI20" s="86" t="s">
        <v>51</v>
      </c>
      <c r="AJ20" s="52">
        <v>0</v>
      </c>
      <c r="AK20" s="97"/>
      <c r="AL20" s="82"/>
      <c r="AM20" s="69"/>
      <c r="AN20" s="86" t="s">
        <v>51</v>
      </c>
      <c r="AO20" s="52">
        <v>0</v>
      </c>
      <c r="AP20" s="97"/>
      <c r="AQ20" s="82"/>
      <c r="AR20" s="69"/>
      <c r="AS20" s="86" t="s">
        <v>51</v>
      </c>
      <c r="AT20" s="52">
        <v>0</v>
      </c>
      <c r="AU20" s="97"/>
      <c r="AV20" s="82"/>
      <c r="AW20" s="69"/>
      <c r="AX20" s="86" t="s">
        <v>51</v>
      </c>
      <c r="AY20" s="52">
        <v>0</v>
      </c>
      <c r="AZ20" s="97"/>
      <c r="BA20" s="82"/>
      <c r="BB20" s="69"/>
      <c r="BC20" s="86" t="s">
        <v>51</v>
      </c>
      <c r="BD20" s="52">
        <v>0</v>
      </c>
      <c r="BE20" s="97"/>
      <c r="BF20" s="82"/>
      <c r="BG20" s="69"/>
      <c r="BH20" s="86" t="s">
        <v>51</v>
      </c>
      <c r="BI20" s="52">
        <v>0</v>
      </c>
      <c r="BJ20" s="97"/>
      <c r="BK20" s="78"/>
    </row>
    <row r="21" spans="2:63" ht="15.75" thickBot="1" x14ac:dyDescent="0.3">
      <c r="B21" s="71"/>
      <c r="C21" s="69"/>
      <c r="D21" s="69"/>
      <c r="E21" s="87" t="s">
        <v>52</v>
      </c>
      <c r="F21" s="50">
        <v>0</v>
      </c>
      <c r="G21" s="98"/>
      <c r="H21" s="82"/>
      <c r="I21" s="69"/>
      <c r="J21" s="87" t="s">
        <v>52</v>
      </c>
      <c r="K21" s="50">
        <v>0</v>
      </c>
      <c r="L21" s="98"/>
      <c r="M21" s="82"/>
      <c r="N21" s="69"/>
      <c r="O21" s="87" t="s">
        <v>52</v>
      </c>
      <c r="P21" s="50">
        <v>0</v>
      </c>
      <c r="Q21" s="98"/>
      <c r="R21" s="82"/>
      <c r="S21" s="69"/>
      <c r="T21" s="87" t="s">
        <v>52</v>
      </c>
      <c r="U21" s="50">
        <v>0</v>
      </c>
      <c r="V21" s="98"/>
      <c r="W21" s="82"/>
      <c r="X21" s="69"/>
      <c r="Y21" s="87" t="s">
        <v>52</v>
      </c>
      <c r="Z21" s="50">
        <v>0</v>
      </c>
      <c r="AA21" s="98"/>
      <c r="AB21" s="82"/>
      <c r="AC21" s="69"/>
      <c r="AD21" s="87" t="s">
        <v>52</v>
      </c>
      <c r="AE21" s="50">
        <v>0</v>
      </c>
      <c r="AF21" s="98"/>
      <c r="AG21" s="82"/>
      <c r="AH21" s="69"/>
      <c r="AI21" s="87" t="s">
        <v>52</v>
      </c>
      <c r="AJ21" s="50">
        <v>0</v>
      </c>
      <c r="AK21" s="98"/>
      <c r="AL21" s="82"/>
      <c r="AM21" s="69"/>
      <c r="AN21" s="87" t="s">
        <v>52</v>
      </c>
      <c r="AO21" s="50">
        <v>0</v>
      </c>
      <c r="AP21" s="98"/>
      <c r="AQ21" s="82"/>
      <c r="AR21" s="69"/>
      <c r="AS21" s="87" t="s">
        <v>52</v>
      </c>
      <c r="AT21" s="50">
        <v>0</v>
      </c>
      <c r="AU21" s="98"/>
      <c r="AV21" s="82"/>
      <c r="AW21" s="69"/>
      <c r="AX21" s="87" t="s">
        <v>52</v>
      </c>
      <c r="AY21" s="50">
        <v>0</v>
      </c>
      <c r="AZ21" s="98"/>
      <c r="BA21" s="82"/>
      <c r="BB21" s="69"/>
      <c r="BC21" s="87" t="s">
        <v>52</v>
      </c>
      <c r="BD21" s="50">
        <v>0</v>
      </c>
      <c r="BE21" s="98"/>
      <c r="BF21" s="82"/>
      <c r="BG21" s="69"/>
      <c r="BH21" s="87" t="s">
        <v>52</v>
      </c>
      <c r="BI21" s="50">
        <v>0</v>
      </c>
      <c r="BJ21" s="98"/>
      <c r="BK21" s="78"/>
    </row>
    <row r="22" spans="2:63" ht="15.75" thickBot="1" x14ac:dyDescent="0.3">
      <c r="B22" s="71"/>
      <c r="C22" s="69"/>
      <c r="D22" s="69"/>
      <c r="E22" s="187" t="s">
        <v>55</v>
      </c>
      <c r="F22" s="188"/>
      <c r="G22" s="43">
        <f>SUM(F23:F28)</f>
        <v>0</v>
      </c>
      <c r="H22" s="82"/>
      <c r="I22" s="69"/>
      <c r="J22" s="187" t="s">
        <v>55</v>
      </c>
      <c r="K22" s="188"/>
      <c r="L22" s="43">
        <f t="shared" ref="L22" si="33">SUM(K23:K28)</f>
        <v>0</v>
      </c>
      <c r="M22" s="82"/>
      <c r="N22" s="69"/>
      <c r="O22" s="187" t="s">
        <v>55</v>
      </c>
      <c r="P22" s="188"/>
      <c r="Q22" s="43">
        <f t="shared" ref="Q22" si="34">SUM(P23:P28)</f>
        <v>0</v>
      </c>
      <c r="R22" s="82"/>
      <c r="S22" s="69"/>
      <c r="T22" s="187" t="s">
        <v>55</v>
      </c>
      <c r="U22" s="188"/>
      <c r="V22" s="43">
        <f t="shared" ref="V22" si="35">SUM(U23:U28)</f>
        <v>0</v>
      </c>
      <c r="W22" s="82"/>
      <c r="X22" s="69"/>
      <c r="Y22" s="187" t="s">
        <v>55</v>
      </c>
      <c r="Z22" s="188"/>
      <c r="AA22" s="43">
        <f t="shared" ref="AA22" si="36">SUM(Z23:Z28)</f>
        <v>0</v>
      </c>
      <c r="AB22" s="82"/>
      <c r="AC22" s="69"/>
      <c r="AD22" s="187" t="s">
        <v>55</v>
      </c>
      <c r="AE22" s="188"/>
      <c r="AF22" s="43">
        <f t="shared" ref="AF22" si="37">SUM(AE23:AE28)</f>
        <v>0</v>
      </c>
      <c r="AG22" s="82"/>
      <c r="AH22" s="69"/>
      <c r="AI22" s="187" t="s">
        <v>55</v>
      </c>
      <c r="AJ22" s="188"/>
      <c r="AK22" s="43">
        <f t="shared" ref="AK22" si="38">SUM(AJ23:AJ28)</f>
        <v>0</v>
      </c>
      <c r="AL22" s="82"/>
      <c r="AM22" s="69"/>
      <c r="AN22" s="187" t="s">
        <v>55</v>
      </c>
      <c r="AO22" s="188"/>
      <c r="AP22" s="43">
        <f t="shared" ref="AP22" si="39">SUM(AO23:AO28)</f>
        <v>0</v>
      </c>
      <c r="AQ22" s="82"/>
      <c r="AR22" s="69"/>
      <c r="AS22" s="187" t="s">
        <v>55</v>
      </c>
      <c r="AT22" s="188"/>
      <c r="AU22" s="43">
        <f t="shared" ref="AU22" si="40">SUM(AT23:AT28)</f>
        <v>0</v>
      </c>
      <c r="AV22" s="82"/>
      <c r="AW22" s="69"/>
      <c r="AX22" s="187" t="s">
        <v>55</v>
      </c>
      <c r="AY22" s="188"/>
      <c r="AZ22" s="43">
        <f t="shared" ref="AZ22" si="41">SUM(AY23:AY28)</f>
        <v>0</v>
      </c>
      <c r="BA22" s="82"/>
      <c r="BB22" s="69"/>
      <c r="BC22" s="187" t="s">
        <v>55</v>
      </c>
      <c r="BD22" s="188"/>
      <c r="BE22" s="43">
        <f t="shared" ref="BE22" si="42">SUM(BD23:BD28)</f>
        <v>0</v>
      </c>
      <c r="BF22" s="82"/>
      <c r="BG22" s="69"/>
      <c r="BH22" s="187" t="s">
        <v>55</v>
      </c>
      <c r="BI22" s="188"/>
      <c r="BJ22" s="43">
        <f t="shared" ref="BJ22" si="43">SUM(BI23:BI28)</f>
        <v>0</v>
      </c>
      <c r="BK22" s="78"/>
    </row>
    <row r="23" spans="2:63" x14ac:dyDescent="0.25">
      <c r="B23" s="71"/>
      <c r="C23" s="69"/>
      <c r="D23" s="69"/>
      <c r="E23" s="84" t="s">
        <v>45</v>
      </c>
      <c r="F23" s="51">
        <v>0</v>
      </c>
      <c r="G23" s="96"/>
      <c r="H23" s="82"/>
      <c r="I23" s="69"/>
      <c r="J23" s="84" t="s">
        <v>45</v>
      </c>
      <c r="K23" s="51">
        <v>0</v>
      </c>
      <c r="L23" s="96"/>
      <c r="M23" s="82"/>
      <c r="N23" s="69"/>
      <c r="O23" s="84" t="s">
        <v>45</v>
      </c>
      <c r="P23" s="51">
        <v>0</v>
      </c>
      <c r="Q23" s="96"/>
      <c r="R23" s="82"/>
      <c r="S23" s="69"/>
      <c r="T23" s="84" t="s">
        <v>45</v>
      </c>
      <c r="U23" s="51">
        <v>0</v>
      </c>
      <c r="V23" s="96"/>
      <c r="W23" s="82"/>
      <c r="X23" s="69"/>
      <c r="Y23" s="84" t="s">
        <v>45</v>
      </c>
      <c r="Z23" s="51">
        <v>0</v>
      </c>
      <c r="AA23" s="96"/>
      <c r="AB23" s="82"/>
      <c r="AC23" s="69"/>
      <c r="AD23" s="84" t="s">
        <v>45</v>
      </c>
      <c r="AE23" s="51">
        <v>0</v>
      </c>
      <c r="AF23" s="96"/>
      <c r="AG23" s="82"/>
      <c r="AH23" s="69"/>
      <c r="AI23" s="84" t="s">
        <v>45</v>
      </c>
      <c r="AJ23" s="51">
        <v>0</v>
      </c>
      <c r="AK23" s="96"/>
      <c r="AL23" s="82"/>
      <c r="AM23" s="69"/>
      <c r="AN23" s="84" t="s">
        <v>45</v>
      </c>
      <c r="AO23" s="51">
        <v>0</v>
      </c>
      <c r="AP23" s="96"/>
      <c r="AQ23" s="82"/>
      <c r="AR23" s="69"/>
      <c r="AS23" s="84" t="s">
        <v>45</v>
      </c>
      <c r="AT23" s="51">
        <v>0</v>
      </c>
      <c r="AU23" s="96"/>
      <c r="AV23" s="82"/>
      <c r="AW23" s="69"/>
      <c r="AX23" s="84" t="s">
        <v>45</v>
      </c>
      <c r="AY23" s="51">
        <v>0</v>
      </c>
      <c r="AZ23" s="96"/>
      <c r="BA23" s="82"/>
      <c r="BB23" s="69"/>
      <c r="BC23" s="84" t="s">
        <v>45</v>
      </c>
      <c r="BD23" s="51">
        <v>0</v>
      </c>
      <c r="BE23" s="96"/>
      <c r="BF23" s="82"/>
      <c r="BG23" s="69"/>
      <c r="BH23" s="84" t="s">
        <v>45</v>
      </c>
      <c r="BI23" s="51">
        <v>0</v>
      </c>
      <c r="BJ23" s="96"/>
      <c r="BK23" s="78"/>
    </row>
    <row r="24" spans="2:63" x14ac:dyDescent="0.25">
      <c r="B24" s="71"/>
      <c r="C24" s="69"/>
      <c r="D24" s="69"/>
      <c r="E24" s="86" t="s">
        <v>46</v>
      </c>
      <c r="F24" s="52">
        <v>0</v>
      </c>
      <c r="G24" s="97"/>
      <c r="H24" s="82"/>
      <c r="I24" s="69"/>
      <c r="J24" s="86" t="s">
        <v>46</v>
      </c>
      <c r="K24" s="52">
        <v>0</v>
      </c>
      <c r="L24" s="97"/>
      <c r="M24" s="82"/>
      <c r="N24" s="69"/>
      <c r="O24" s="86" t="s">
        <v>46</v>
      </c>
      <c r="P24" s="52">
        <v>0</v>
      </c>
      <c r="Q24" s="97"/>
      <c r="R24" s="82"/>
      <c r="S24" s="69"/>
      <c r="T24" s="86" t="s">
        <v>46</v>
      </c>
      <c r="U24" s="52">
        <v>0</v>
      </c>
      <c r="V24" s="97"/>
      <c r="W24" s="82"/>
      <c r="X24" s="69"/>
      <c r="Y24" s="86" t="s">
        <v>46</v>
      </c>
      <c r="Z24" s="52">
        <v>0</v>
      </c>
      <c r="AA24" s="97"/>
      <c r="AB24" s="82"/>
      <c r="AC24" s="69"/>
      <c r="AD24" s="86" t="s">
        <v>46</v>
      </c>
      <c r="AE24" s="52">
        <v>0</v>
      </c>
      <c r="AF24" s="97"/>
      <c r="AG24" s="82"/>
      <c r="AH24" s="69"/>
      <c r="AI24" s="86" t="s">
        <v>46</v>
      </c>
      <c r="AJ24" s="52">
        <v>0</v>
      </c>
      <c r="AK24" s="97"/>
      <c r="AL24" s="82"/>
      <c r="AM24" s="69"/>
      <c r="AN24" s="86" t="s">
        <v>46</v>
      </c>
      <c r="AO24" s="52">
        <v>0</v>
      </c>
      <c r="AP24" s="97"/>
      <c r="AQ24" s="82"/>
      <c r="AR24" s="69"/>
      <c r="AS24" s="86" t="s">
        <v>46</v>
      </c>
      <c r="AT24" s="52">
        <v>0</v>
      </c>
      <c r="AU24" s="97"/>
      <c r="AV24" s="82"/>
      <c r="AW24" s="69"/>
      <c r="AX24" s="86" t="s">
        <v>46</v>
      </c>
      <c r="AY24" s="52">
        <v>0</v>
      </c>
      <c r="AZ24" s="97"/>
      <c r="BA24" s="82"/>
      <c r="BB24" s="69"/>
      <c r="BC24" s="86" t="s">
        <v>46</v>
      </c>
      <c r="BD24" s="52">
        <v>0</v>
      </c>
      <c r="BE24" s="97"/>
      <c r="BF24" s="82"/>
      <c r="BG24" s="69"/>
      <c r="BH24" s="86" t="s">
        <v>46</v>
      </c>
      <c r="BI24" s="52">
        <v>0</v>
      </c>
      <c r="BJ24" s="97"/>
      <c r="BK24" s="78"/>
    </row>
    <row r="25" spans="2:63" x14ac:dyDescent="0.25">
      <c r="B25" s="71"/>
      <c r="C25" s="69"/>
      <c r="D25" s="69"/>
      <c r="E25" s="86" t="s">
        <v>56</v>
      </c>
      <c r="F25" s="52">
        <v>0</v>
      </c>
      <c r="G25" s="97"/>
      <c r="H25" s="82"/>
      <c r="I25" s="69"/>
      <c r="J25" s="86" t="s">
        <v>56</v>
      </c>
      <c r="K25" s="52">
        <v>0</v>
      </c>
      <c r="L25" s="97"/>
      <c r="M25" s="82"/>
      <c r="N25" s="69"/>
      <c r="O25" s="86" t="s">
        <v>56</v>
      </c>
      <c r="P25" s="52">
        <v>0</v>
      </c>
      <c r="Q25" s="97"/>
      <c r="R25" s="82"/>
      <c r="S25" s="69"/>
      <c r="T25" s="86" t="s">
        <v>56</v>
      </c>
      <c r="U25" s="52">
        <v>0</v>
      </c>
      <c r="V25" s="97"/>
      <c r="W25" s="82"/>
      <c r="X25" s="69"/>
      <c r="Y25" s="86" t="s">
        <v>56</v>
      </c>
      <c r="Z25" s="52">
        <v>0</v>
      </c>
      <c r="AA25" s="97"/>
      <c r="AB25" s="82"/>
      <c r="AC25" s="69"/>
      <c r="AD25" s="86" t="s">
        <v>56</v>
      </c>
      <c r="AE25" s="52">
        <v>0</v>
      </c>
      <c r="AF25" s="97"/>
      <c r="AG25" s="82"/>
      <c r="AH25" s="69"/>
      <c r="AI25" s="86" t="s">
        <v>56</v>
      </c>
      <c r="AJ25" s="52">
        <v>0</v>
      </c>
      <c r="AK25" s="97"/>
      <c r="AL25" s="82"/>
      <c r="AM25" s="69"/>
      <c r="AN25" s="86" t="s">
        <v>56</v>
      </c>
      <c r="AO25" s="52">
        <v>0</v>
      </c>
      <c r="AP25" s="97"/>
      <c r="AQ25" s="82"/>
      <c r="AR25" s="69"/>
      <c r="AS25" s="86" t="s">
        <v>56</v>
      </c>
      <c r="AT25" s="52">
        <v>0</v>
      </c>
      <c r="AU25" s="97"/>
      <c r="AV25" s="82"/>
      <c r="AW25" s="69"/>
      <c r="AX25" s="86" t="s">
        <v>56</v>
      </c>
      <c r="AY25" s="52">
        <v>0</v>
      </c>
      <c r="AZ25" s="97"/>
      <c r="BA25" s="82"/>
      <c r="BB25" s="69"/>
      <c r="BC25" s="86" t="s">
        <v>56</v>
      </c>
      <c r="BD25" s="52">
        <v>0</v>
      </c>
      <c r="BE25" s="97"/>
      <c r="BF25" s="82"/>
      <c r="BG25" s="69"/>
      <c r="BH25" s="86" t="s">
        <v>56</v>
      </c>
      <c r="BI25" s="52">
        <v>0</v>
      </c>
      <c r="BJ25" s="97"/>
      <c r="BK25" s="78"/>
    </row>
    <row r="26" spans="2:63" x14ac:dyDescent="0.25">
      <c r="B26" s="71"/>
      <c r="C26" s="69"/>
      <c r="D26" s="69"/>
      <c r="E26" s="86" t="s">
        <v>57</v>
      </c>
      <c r="F26" s="52">
        <v>0</v>
      </c>
      <c r="G26" s="97"/>
      <c r="H26" s="82"/>
      <c r="I26" s="69"/>
      <c r="J26" s="86" t="s">
        <v>57</v>
      </c>
      <c r="K26" s="52">
        <v>0</v>
      </c>
      <c r="L26" s="97"/>
      <c r="M26" s="82"/>
      <c r="N26" s="69"/>
      <c r="O26" s="86" t="s">
        <v>57</v>
      </c>
      <c r="P26" s="52">
        <v>0</v>
      </c>
      <c r="Q26" s="97"/>
      <c r="R26" s="82"/>
      <c r="S26" s="69"/>
      <c r="T26" s="86" t="s">
        <v>57</v>
      </c>
      <c r="U26" s="52">
        <v>0</v>
      </c>
      <c r="V26" s="97"/>
      <c r="W26" s="82"/>
      <c r="X26" s="69"/>
      <c r="Y26" s="86" t="s">
        <v>57</v>
      </c>
      <c r="Z26" s="52">
        <v>0</v>
      </c>
      <c r="AA26" s="97"/>
      <c r="AB26" s="82"/>
      <c r="AC26" s="69"/>
      <c r="AD26" s="86" t="s">
        <v>57</v>
      </c>
      <c r="AE26" s="52">
        <v>0</v>
      </c>
      <c r="AF26" s="97"/>
      <c r="AG26" s="82"/>
      <c r="AH26" s="69"/>
      <c r="AI26" s="86" t="s">
        <v>57</v>
      </c>
      <c r="AJ26" s="52">
        <v>0</v>
      </c>
      <c r="AK26" s="97"/>
      <c r="AL26" s="82"/>
      <c r="AM26" s="69"/>
      <c r="AN26" s="86" t="s">
        <v>57</v>
      </c>
      <c r="AO26" s="52">
        <v>0</v>
      </c>
      <c r="AP26" s="97"/>
      <c r="AQ26" s="82"/>
      <c r="AR26" s="69"/>
      <c r="AS26" s="86" t="s">
        <v>57</v>
      </c>
      <c r="AT26" s="52">
        <v>0</v>
      </c>
      <c r="AU26" s="97"/>
      <c r="AV26" s="82"/>
      <c r="AW26" s="69"/>
      <c r="AX26" s="86" t="s">
        <v>57</v>
      </c>
      <c r="AY26" s="52">
        <v>0</v>
      </c>
      <c r="AZ26" s="97"/>
      <c r="BA26" s="82"/>
      <c r="BB26" s="69"/>
      <c r="BC26" s="86" t="s">
        <v>57</v>
      </c>
      <c r="BD26" s="52">
        <v>0</v>
      </c>
      <c r="BE26" s="97"/>
      <c r="BF26" s="82"/>
      <c r="BG26" s="69"/>
      <c r="BH26" s="86" t="s">
        <v>57</v>
      </c>
      <c r="BI26" s="52">
        <v>0</v>
      </c>
      <c r="BJ26" s="97"/>
      <c r="BK26" s="78"/>
    </row>
    <row r="27" spans="2:63" x14ac:dyDescent="0.25">
      <c r="B27" s="71"/>
      <c r="C27" s="69"/>
      <c r="D27" s="69"/>
      <c r="E27" s="86" t="s">
        <v>58</v>
      </c>
      <c r="F27" s="52">
        <v>0</v>
      </c>
      <c r="G27" s="97"/>
      <c r="H27" s="82"/>
      <c r="I27" s="69"/>
      <c r="J27" s="86" t="s">
        <v>58</v>
      </c>
      <c r="K27" s="52">
        <v>0</v>
      </c>
      <c r="L27" s="97"/>
      <c r="M27" s="82"/>
      <c r="N27" s="69"/>
      <c r="O27" s="86" t="s">
        <v>58</v>
      </c>
      <c r="P27" s="52">
        <v>0</v>
      </c>
      <c r="Q27" s="97"/>
      <c r="R27" s="82"/>
      <c r="S27" s="69"/>
      <c r="T27" s="86" t="s">
        <v>58</v>
      </c>
      <c r="U27" s="52">
        <v>0</v>
      </c>
      <c r="V27" s="97"/>
      <c r="W27" s="82"/>
      <c r="X27" s="69"/>
      <c r="Y27" s="86" t="s">
        <v>58</v>
      </c>
      <c r="Z27" s="52">
        <v>0</v>
      </c>
      <c r="AA27" s="97"/>
      <c r="AB27" s="82"/>
      <c r="AC27" s="69"/>
      <c r="AD27" s="86" t="s">
        <v>58</v>
      </c>
      <c r="AE27" s="52">
        <v>0</v>
      </c>
      <c r="AF27" s="97"/>
      <c r="AG27" s="82"/>
      <c r="AH27" s="69"/>
      <c r="AI27" s="86" t="s">
        <v>58</v>
      </c>
      <c r="AJ27" s="52">
        <v>0</v>
      </c>
      <c r="AK27" s="97"/>
      <c r="AL27" s="82"/>
      <c r="AM27" s="69"/>
      <c r="AN27" s="86" t="s">
        <v>58</v>
      </c>
      <c r="AO27" s="52">
        <v>0</v>
      </c>
      <c r="AP27" s="97"/>
      <c r="AQ27" s="82"/>
      <c r="AR27" s="69"/>
      <c r="AS27" s="86" t="s">
        <v>58</v>
      </c>
      <c r="AT27" s="52">
        <v>0</v>
      </c>
      <c r="AU27" s="97"/>
      <c r="AV27" s="82"/>
      <c r="AW27" s="69"/>
      <c r="AX27" s="86" t="s">
        <v>58</v>
      </c>
      <c r="AY27" s="52">
        <v>0</v>
      </c>
      <c r="AZ27" s="97"/>
      <c r="BA27" s="82"/>
      <c r="BB27" s="69"/>
      <c r="BC27" s="86" t="s">
        <v>58</v>
      </c>
      <c r="BD27" s="52">
        <v>0</v>
      </c>
      <c r="BE27" s="97"/>
      <c r="BF27" s="82"/>
      <c r="BG27" s="69"/>
      <c r="BH27" s="86" t="s">
        <v>58</v>
      </c>
      <c r="BI27" s="52">
        <v>0</v>
      </c>
      <c r="BJ27" s="97"/>
      <c r="BK27" s="78"/>
    </row>
    <row r="28" spans="2:63" ht="15.75" thickBot="1" x14ac:dyDescent="0.3">
      <c r="B28" s="71"/>
      <c r="C28" s="69"/>
      <c r="D28" s="69"/>
      <c r="E28" s="87" t="s">
        <v>59</v>
      </c>
      <c r="F28" s="50">
        <v>0</v>
      </c>
      <c r="G28" s="98"/>
      <c r="H28" s="82"/>
      <c r="I28" s="69"/>
      <c r="J28" s="87" t="s">
        <v>59</v>
      </c>
      <c r="K28" s="50">
        <v>0</v>
      </c>
      <c r="L28" s="98"/>
      <c r="M28" s="82"/>
      <c r="N28" s="69"/>
      <c r="O28" s="87" t="s">
        <v>59</v>
      </c>
      <c r="P28" s="50">
        <v>0</v>
      </c>
      <c r="Q28" s="98"/>
      <c r="R28" s="82"/>
      <c r="S28" s="69"/>
      <c r="T28" s="87" t="s">
        <v>59</v>
      </c>
      <c r="U28" s="50">
        <v>0</v>
      </c>
      <c r="V28" s="98"/>
      <c r="W28" s="82"/>
      <c r="X28" s="69"/>
      <c r="Y28" s="87" t="s">
        <v>59</v>
      </c>
      <c r="Z28" s="50">
        <v>0</v>
      </c>
      <c r="AA28" s="98"/>
      <c r="AB28" s="82"/>
      <c r="AC28" s="69"/>
      <c r="AD28" s="87" t="s">
        <v>59</v>
      </c>
      <c r="AE28" s="50">
        <v>0</v>
      </c>
      <c r="AF28" s="98"/>
      <c r="AG28" s="82"/>
      <c r="AH28" s="69"/>
      <c r="AI28" s="87" t="s">
        <v>59</v>
      </c>
      <c r="AJ28" s="50">
        <v>0</v>
      </c>
      <c r="AK28" s="98"/>
      <c r="AL28" s="82"/>
      <c r="AM28" s="69"/>
      <c r="AN28" s="87" t="s">
        <v>59</v>
      </c>
      <c r="AO28" s="50">
        <v>0</v>
      </c>
      <c r="AP28" s="98"/>
      <c r="AQ28" s="82"/>
      <c r="AR28" s="69"/>
      <c r="AS28" s="87" t="s">
        <v>59</v>
      </c>
      <c r="AT28" s="50">
        <v>0</v>
      </c>
      <c r="AU28" s="98"/>
      <c r="AV28" s="82"/>
      <c r="AW28" s="69"/>
      <c r="AX28" s="87" t="s">
        <v>59</v>
      </c>
      <c r="AY28" s="50">
        <v>0</v>
      </c>
      <c r="AZ28" s="98"/>
      <c r="BA28" s="82"/>
      <c r="BB28" s="69"/>
      <c r="BC28" s="87" t="s">
        <v>59</v>
      </c>
      <c r="BD28" s="50">
        <v>0</v>
      </c>
      <c r="BE28" s="98"/>
      <c r="BF28" s="82"/>
      <c r="BG28" s="69"/>
      <c r="BH28" s="87" t="s">
        <v>59</v>
      </c>
      <c r="BI28" s="50">
        <v>0</v>
      </c>
      <c r="BJ28" s="98"/>
      <c r="BK28" s="78"/>
    </row>
    <row r="29" spans="2:63" ht="15.75" thickBot="1" x14ac:dyDescent="0.3">
      <c r="B29" s="71"/>
      <c r="C29" s="69"/>
      <c r="D29" s="69"/>
      <c r="E29" s="187" t="s">
        <v>60</v>
      </c>
      <c r="F29" s="188"/>
      <c r="G29" s="43">
        <f>SUM(F30:F38)</f>
        <v>0</v>
      </c>
      <c r="H29" s="82"/>
      <c r="I29" s="69"/>
      <c r="J29" s="187" t="s">
        <v>60</v>
      </c>
      <c r="K29" s="188"/>
      <c r="L29" s="43">
        <f t="shared" ref="L29" si="44">SUM(K30:K38)</f>
        <v>0</v>
      </c>
      <c r="M29" s="82"/>
      <c r="N29" s="69"/>
      <c r="O29" s="187" t="s">
        <v>60</v>
      </c>
      <c r="P29" s="188"/>
      <c r="Q29" s="43">
        <f t="shared" ref="Q29" si="45">SUM(P30:P38)</f>
        <v>0</v>
      </c>
      <c r="R29" s="82"/>
      <c r="S29" s="69"/>
      <c r="T29" s="187" t="s">
        <v>60</v>
      </c>
      <c r="U29" s="188"/>
      <c r="V29" s="43">
        <f t="shared" ref="V29" si="46">SUM(U30:U38)</f>
        <v>0</v>
      </c>
      <c r="W29" s="82"/>
      <c r="X29" s="69"/>
      <c r="Y29" s="187" t="s">
        <v>60</v>
      </c>
      <c r="Z29" s="188"/>
      <c r="AA29" s="43">
        <f t="shared" ref="AA29" si="47">SUM(Z30:Z38)</f>
        <v>0</v>
      </c>
      <c r="AB29" s="82"/>
      <c r="AC29" s="69"/>
      <c r="AD29" s="187" t="s">
        <v>60</v>
      </c>
      <c r="AE29" s="188"/>
      <c r="AF29" s="43">
        <f t="shared" ref="AF29" si="48">SUM(AE30:AE38)</f>
        <v>0</v>
      </c>
      <c r="AG29" s="82"/>
      <c r="AH29" s="69"/>
      <c r="AI29" s="187" t="s">
        <v>60</v>
      </c>
      <c r="AJ29" s="188"/>
      <c r="AK29" s="43">
        <f t="shared" ref="AK29" si="49">SUM(AJ30:AJ38)</f>
        <v>0</v>
      </c>
      <c r="AL29" s="82"/>
      <c r="AM29" s="69"/>
      <c r="AN29" s="187" t="s">
        <v>60</v>
      </c>
      <c r="AO29" s="188"/>
      <c r="AP29" s="43">
        <f t="shared" ref="AP29" si="50">SUM(AO30:AO38)</f>
        <v>0</v>
      </c>
      <c r="AQ29" s="82"/>
      <c r="AR29" s="69"/>
      <c r="AS29" s="187" t="s">
        <v>60</v>
      </c>
      <c r="AT29" s="188"/>
      <c r="AU29" s="43">
        <f t="shared" ref="AU29" si="51">SUM(AT30:AT38)</f>
        <v>0</v>
      </c>
      <c r="AV29" s="82"/>
      <c r="AW29" s="69"/>
      <c r="AX29" s="187" t="s">
        <v>60</v>
      </c>
      <c r="AY29" s="188"/>
      <c r="AZ29" s="43">
        <f t="shared" ref="AZ29" si="52">SUM(AY30:AY38)</f>
        <v>0</v>
      </c>
      <c r="BA29" s="82"/>
      <c r="BB29" s="69"/>
      <c r="BC29" s="187" t="s">
        <v>60</v>
      </c>
      <c r="BD29" s="188"/>
      <c r="BE29" s="43">
        <f t="shared" ref="BE29" si="53">SUM(BD30:BD38)</f>
        <v>0</v>
      </c>
      <c r="BF29" s="82"/>
      <c r="BG29" s="69"/>
      <c r="BH29" s="187" t="s">
        <v>60</v>
      </c>
      <c r="BI29" s="188"/>
      <c r="BJ29" s="43">
        <f t="shared" ref="BJ29" si="54">SUM(BI30:BI38)</f>
        <v>0</v>
      </c>
      <c r="BK29" s="78"/>
    </row>
    <row r="30" spans="2:63" x14ac:dyDescent="0.25">
      <c r="B30" s="71"/>
      <c r="C30" s="69"/>
      <c r="D30" s="69"/>
      <c r="E30" s="84" t="s">
        <v>61</v>
      </c>
      <c r="F30" s="51">
        <v>0</v>
      </c>
      <c r="G30" s="96"/>
      <c r="H30" s="82"/>
      <c r="I30" s="69"/>
      <c r="J30" s="84" t="s">
        <v>61</v>
      </c>
      <c r="K30" s="51">
        <v>0</v>
      </c>
      <c r="L30" s="96"/>
      <c r="M30" s="82"/>
      <c r="N30" s="69"/>
      <c r="O30" s="84" t="s">
        <v>61</v>
      </c>
      <c r="P30" s="51">
        <v>0</v>
      </c>
      <c r="Q30" s="96"/>
      <c r="R30" s="82"/>
      <c r="S30" s="69"/>
      <c r="T30" s="84" t="s">
        <v>61</v>
      </c>
      <c r="U30" s="51">
        <v>0</v>
      </c>
      <c r="V30" s="96"/>
      <c r="W30" s="82"/>
      <c r="X30" s="69"/>
      <c r="Y30" s="84" t="s">
        <v>61</v>
      </c>
      <c r="Z30" s="51">
        <v>0</v>
      </c>
      <c r="AA30" s="96"/>
      <c r="AB30" s="82"/>
      <c r="AC30" s="69"/>
      <c r="AD30" s="84" t="s">
        <v>61</v>
      </c>
      <c r="AE30" s="51">
        <v>0</v>
      </c>
      <c r="AF30" s="96"/>
      <c r="AG30" s="82"/>
      <c r="AH30" s="69"/>
      <c r="AI30" s="84" t="s">
        <v>61</v>
      </c>
      <c r="AJ30" s="51">
        <v>0</v>
      </c>
      <c r="AK30" s="96"/>
      <c r="AL30" s="82"/>
      <c r="AM30" s="69"/>
      <c r="AN30" s="84" t="s">
        <v>61</v>
      </c>
      <c r="AO30" s="51">
        <v>0</v>
      </c>
      <c r="AP30" s="96"/>
      <c r="AQ30" s="82"/>
      <c r="AR30" s="69"/>
      <c r="AS30" s="84" t="s">
        <v>61</v>
      </c>
      <c r="AT30" s="51">
        <v>0</v>
      </c>
      <c r="AU30" s="96"/>
      <c r="AV30" s="82"/>
      <c r="AW30" s="69"/>
      <c r="AX30" s="84" t="s">
        <v>61</v>
      </c>
      <c r="AY30" s="51">
        <v>0</v>
      </c>
      <c r="AZ30" s="96"/>
      <c r="BA30" s="82"/>
      <c r="BB30" s="69"/>
      <c r="BC30" s="84" t="s">
        <v>61</v>
      </c>
      <c r="BD30" s="51">
        <v>0</v>
      </c>
      <c r="BE30" s="96"/>
      <c r="BF30" s="82"/>
      <c r="BG30" s="69"/>
      <c r="BH30" s="84" t="s">
        <v>61</v>
      </c>
      <c r="BI30" s="51">
        <v>0</v>
      </c>
      <c r="BJ30" s="96"/>
      <c r="BK30" s="78"/>
    </row>
    <row r="31" spans="2:63" x14ac:dyDescent="0.25">
      <c r="B31" s="71"/>
      <c r="C31" s="69"/>
      <c r="D31" s="69"/>
      <c r="E31" s="86" t="s">
        <v>62</v>
      </c>
      <c r="F31" s="52">
        <v>0</v>
      </c>
      <c r="G31" s="97"/>
      <c r="H31" s="82"/>
      <c r="I31" s="69"/>
      <c r="J31" s="86" t="s">
        <v>62</v>
      </c>
      <c r="K31" s="52">
        <v>0</v>
      </c>
      <c r="L31" s="97"/>
      <c r="M31" s="82"/>
      <c r="N31" s="69"/>
      <c r="O31" s="86" t="s">
        <v>62</v>
      </c>
      <c r="P31" s="52">
        <v>0</v>
      </c>
      <c r="Q31" s="97"/>
      <c r="R31" s="82"/>
      <c r="S31" s="69"/>
      <c r="T31" s="86" t="s">
        <v>62</v>
      </c>
      <c r="U31" s="52">
        <v>0</v>
      </c>
      <c r="V31" s="97"/>
      <c r="W31" s="82"/>
      <c r="X31" s="69"/>
      <c r="Y31" s="86" t="s">
        <v>62</v>
      </c>
      <c r="Z31" s="52">
        <v>0</v>
      </c>
      <c r="AA31" s="97"/>
      <c r="AB31" s="82"/>
      <c r="AC31" s="69"/>
      <c r="AD31" s="86" t="s">
        <v>62</v>
      </c>
      <c r="AE31" s="52">
        <v>0</v>
      </c>
      <c r="AF31" s="97"/>
      <c r="AG31" s="82"/>
      <c r="AH31" s="69"/>
      <c r="AI31" s="86" t="s">
        <v>62</v>
      </c>
      <c r="AJ31" s="52">
        <v>0</v>
      </c>
      <c r="AK31" s="97"/>
      <c r="AL31" s="82"/>
      <c r="AM31" s="69"/>
      <c r="AN31" s="86" t="s">
        <v>62</v>
      </c>
      <c r="AO31" s="52">
        <v>0</v>
      </c>
      <c r="AP31" s="97"/>
      <c r="AQ31" s="82"/>
      <c r="AR31" s="69"/>
      <c r="AS31" s="86" t="s">
        <v>62</v>
      </c>
      <c r="AT31" s="52">
        <v>0</v>
      </c>
      <c r="AU31" s="97"/>
      <c r="AV31" s="82"/>
      <c r="AW31" s="69"/>
      <c r="AX31" s="86" t="s">
        <v>62</v>
      </c>
      <c r="AY31" s="52">
        <v>0</v>
      </c>
      <c r="AZ31" s="97"/>
      <c r="BA31" s="82"/>
      <c r="BB31" s="69"/>
      <c r="BC31" s="86" t="s">
        <v>62</v>
      </c>
      <c r="BD31" s="52">
        <v>0</v>
      </c>
      <c r="BE31" s="97"/>
      <c r="BF31" s="82"/>
      <c r="BG31" s="69"/>
      <c r="BH31" s="86" t="s">
        <v>62</v>
      </c>
      <c r="BI31" s="52">
        <v>0</v>
      </c>
      <c r="BJ31" s="97"/>
      <c r="BK31" s="78"/>
    </row>
    <row r="32" spans="2:63" x14ac:dyDescent="0.25">
      <c r="B32" s="71"/>
      <c r="C32" s="69"/>
      <c r="D32" s="69"/>
      <c r="E32" s="86" t="s">
        <v>63</v>
      </c>
      <c r="F32" s="52">
        <v>0</v>
      </c>
      <c r="G32" s="97"/>
      <c r="H32" s="82"/>
      <c r="I32" s="69"/>
      <c r="J32" s="86" t="s">
        <v>63</v>
      </c>
      <c r="K32" s="52">
        <v>0</v>
      </c>
      <c r="L32" s="97"/>
      <c r="M32" s="82"/>
      <c r="N32" s="69"/>
      <c r="O32" s="86" t="s">
        <v>63</v>
      </c>
      <c r="P32" s="52">
        <v>0</v>
      </c>
      <c r="Q32" s="97"/>
      <c r="R32" s="82"/>
      <c r="S32" s="69"/>
      <c r="T32" s="86" t="s">
        <v>63</v>
      </c>
      <c r="U32" s="52">
        <v>0</v>
      </c>
      <c r="V32" s="97"/>
      <c r="W32" s="82"/>
      <c r="X32" s="69"/>
      <c r="Y32" s="86" t="s">
        <v>63</v>
      </c>
      <c r="Z32" s="52">
        <v>0</v>
      </c>
      <c r="AA32" s="97"/>
      <c r="AB32" s="82"/>
      <c r="AC32" s="69"/>
      <c r="AD32" s="86" t="s">
        <v>63</v>
      </c>
      <c r="AE32" s="52">
        <v>0</v>
      </c>
      <c r="AF32" s="97"/>
      <c r="AG32" s="82"/>
      <c r="AH32" s="69"/>
      <c r="AI32" s="86" t="s">
        <v>63</v>
      </c>
      <c r="AJ32" s="52">
        <v>0</v>
      </c>
      <c r="AK32" s="97"/>
      <c r="AL32" s="82"/>
      <c r="AM32" s="69"/>
      <c r="AN32" s="86" t="s">
        <v>63</v>
      </c>
      <c r="AO32" s="52">
        <v>0</v>
      </c>
      <c r="AP32" s="97"/>
      <c r="AQ32" s="82"/>
      <c r="AR32" s="69"/>
      <c r="AS32" s="86" t="s">
        <v>63</v>
      </c>
      <c r="AT32" s="52">
        <v>0</v>
      </c>
      <c r="AU32" s="97"/>
      <c r="AV32" s="82"/>
      <c r="AW32" s="69"/>
      <c r="AX32" s="86" t="s">
        <v>63</v>
      </c>
      <c r="AY32" s="52">
        <v>0</v>
      </c>
      <c r="AZ32" s="97"/>
      <c r="BA32" s="82"/>
      <c r="BB32" s="69"/>
      <c r="BC32" s="86" t="s">
        <v>63</v>
      </c>
      <c r="BD32" s="52">
        <v>0</v>
      </c>
      <c r="BE32" s="97"/>
      <c r="BF32" s="82"/>
      <c r="BG32" s="69"/>
      <c r="BH32" s="86" t="s">
        <v>63</v>
      </c>
      <c r="BI32" s="52">
        <v>0</v>
      </c>
      <c r="BJ32" s="97"/>
      <c r="BK32" s="78"/>
    </row>
    <row r="33" spans="2:63" x14ac:dyDescent="0.25">
      <c r="B33" s="71"/>
      <c r="C33" s="69"/>
      <c r="D33" s="69"/>
      <c r="E33" s="86" t="s">
        <v>64</v>
      </c>
      <c r="F33" s="52">
        <v>0</v>
      </c>
      <c r="G33" s="97"/>
      <c r="H33" s="82"/>
      <c r="I33" s="69"/>
      <c r="J33" s="86" t="s">
        <v>64</v>
      </c>
      <c r="K33" s="52">
        <v>0</v>
      </c>
      <c r="L33" s="97"/>
      <c r="M33" s="82"/>
      <c r="N33" s="69"/>
      <c r="O33" s="86" t="s">
        <v>64</v>
      </c>
      <c r="P33" s="52">
        <v>0</v>
      </c>
      <c r="Q33" s="97"/>
      <c r="R33" s="82"/>
      <c r="S33" s="69"/>
      <c r="T33" s="86" t="s">
        <v>64</v>
      </c>
      <c r="U33" s="52">
        <v>0</v>
      </c>
      <c r="V33" s="97"/>
      <c r="W33" s="82"/>
      <c r="X33" s="69"/>
      <c r="Y33" s="86" t="s">
        <v>64</v>
      </c>
      <c r="Z33" s="52">
        <v>0</v>
      </c>
      <c r="AA33" s="97"/>
      <c r="AB33" s="82"/>
      <c r="AC33" s="69"/>
      <c r="AD33" s="86" t="s">
        <v>64</v>
      </c>
      <c r="AE33" s="52">
        <v>0</v>
      </c>
      <c r="AF33" s="97"/>
      <c r="AG33" s="82"/>
      <c r="AH33" s="69"/>
      <c r="AI33" s="86" t="s">
        <v>64</v>
      </c>
      <c r="AJ33" s="52">
        <v>0</v>
      </c>
      <c r="AK33" s="97"/>
      <c r="AL33" s="82"/>
      <c r="AM33" s="69"/>
      <c r="AN33" s="86" t="s">
        <v>64</v>
      </c>
      <c r="AO33" s="52">
        <v>0</v>
      </c>
      <c r="AP33" s="97"/>
      <c r="AQ33" s="82"/>
      <c r="AR33" s="69"/>
      <c r="AS33" s="86" t="s">
        <v>64</v>
      </c>
      <c r="AT33" s="52">
        <v>0</v>
      </c>
      <c r="AU33" s="97"/>
      <c r="AV33" s="82"/>
      <c r="AW33" s="69"/>
      <c r="AX33" s="86" t="s">
        <v>64</v>
      </c>
      <c r="AY33" s="52">
        <v>0</v>
      </c>
      <c r="AZ33" s="97"/>
      <c r="BA33" s="82"/>
      <c r="BB33" s="69"/>
      <c r="BC33" s="86" t="s">
        <v>64</v>
      </c>
      <c r="BD33" s="52">
        <v>0</v>
      </c>
      <c r="BE33" s="97"/>
      <c r="BF33" s="82"/>
      <c r="BG33" s="69"/>
      <c r="BH33" s="86" t="s">
        <v>64</v>
      </c>
      <c r="BI33" s="52">
        <v>0</v>
      </c>
      <c r="BJ33" s="97"/>
      <c r="BK33" s="78"/>
    </row>
    <row r="34" spans="2:63" x14ac:dyDescent="0.25">
      <c r="B34" s="71"/>
      <c r="C34" s="69"/>
      <c r="D34" s="69"/>
      <c r="E34" s="86" t="s">
        <v>65</v>
      </c>
      <c r="F34" s="52">
        <v>0</v>
      </c>
      <c r="G34" s="97"/>
      <c r="H34" s="82"/>
      <c r="I34" s="69"/>
      <c r="J34" s="86" t="s">
        <v>65</v>
      </c>
      <c r="K34" s="52">
        <v>0</v>
      </c>
      <c r="L34" s="97"/>
      <c r="M34" s="82"/>
      <c r="N34" s="69"/>
      <c r="O34" s="86" t="s">
        <v>65</v>
      </c>
      <c r="P34" s="52">
        <v>0</v>
      </c>
      <c r="Q34" s="97"/>
      <c r="R34" s="82"/>
      <c r="S34" s="69"/>
      <c r="T34" s="86" t="s">
        <v>65</v>
      </c>
      <c r="U34" s="52">
        <v>0</v>
      </c>
      <c r="V34" s="97"/>
      <c r="W34" s="82"/>
      <c r="X34" s="69"/>
      <c r="Y34" s="86" t="s">
        <v>65</v>
      </c>
      <c r="Z34" s="52">
        <v>0</v>
      </c>
      <c r="AA34" s="97"/>
      <c r="AB34" s="82"/>
      <c r="AC34" s="69"/>
      <c r="AD34" s="86" t="s">
        <v>65</v>
      </c>
      <c r="AE34" s="52">
        <v>0</v>
      </c>
      <c r="AF34" s="97"/>
      <c r="AG34" s="82"/>
      <c r="AH34" s="69"/>
      <c r="AI34" s="86" t="s">
        <v>65</v>
      </c>
      <c r="AJ34" s="52">
        <v>0</v>
      </c>
      <c r="AK34" s="97"/>
      <c r="AL34" s="82"/>
      <c r="AM34" s="69"/>
      <c r="AN34" s="86" t="s">
        <v>65</v>
      </c>
      <c r="AO34" s="52">
        <v>0</v>
      </c>
      <c r="AP34" s="97"/>
      <c r="AQ34" s="82"/>
      <c r="AR34" s="69"/>
      <c r="AS34" s="86" t="s">
        <v>65</v>
      </c>
      <c r="AT34" s="52">
        <v>0</v>
      </c>
      <c r="AU34" s="97"/>
      <c r="AV34" s="82"/>
      <c r="AW34" s="69"/>
      <c r="AX34" s="86" t="s">
        <v>65</v>
      </c>
      <c r="AY34" s="52">
        <v>0</v>
      </c>
      <c r="AZ34" s="97"/>
      <c r="BA34" s="82"/>
      <c r="BB34" s="69"/>
      <c r="BC34" s="86" t="s">
        <v>65</v>
      </c>
      <c r="BD34" s="52">
        <v>0</v>
      </c>
      <c r="BE34" s="97"/>
      <c r="BF34" s="82"/>
      <c r="BG34" s="69"/>
      <c r="BH34" s="86" t="s">
        <v>65</v>
      </c>
      <c r="BI34" s="52">
        <v>0</v>
      </c>
      <c r="BJ34" s="97"/>
      <c r="BK34" s="78"/>
    </row>
    <row r="35" spans="2:63" x14ac:dyDescent="0.25">
      <c r="B35" s="71"/>
      <c r="C35" s="69"/>
      <c r="D35" s="69"/>
      <c r="E35" s="86" t="s">
        <v>66</v>
      </c>
      <c r="F35" s="52">
        <v>0</v>
      </c>
      <c r="G35" s="97"/>
      <c r="H35" s="82"/>
      <c r="I35" s="69"/>
      <c r="J35" s="86" t="s">
        <v>66</v>
      </c>
      <c r="K35" s="52">
        <v>0</v>
      </c>
      <c r="L35" s="97"/>
      <c r="M35" s="82"/>
      <c r="N35" s="69"/>
      <c r="O35" s="86" t="s">
        <v>66</v>
      </c>
      <c r="P35" s="52">
        <v>0</v>
      </c>
      <c r="Q35" s="97"/>
      <c r="R35" s="82"/>
      <c r="S35" s="69"/>
      <c r="T35" s="86" t="s">
        <v>66</v>
      </c>
      <c r="U35" s="52">
        <v>0</v>
      </c>
      <c r="V35" s="97"/>
      <c r="W35" s="82"/>
      <c r="X35" s="69"/>
      <c r="Y35" s="86" t="s">
        <v>66</v>
      </c>
      <c r="Z35" s="52">
        <v>0</v>
      </c>
      <c r="AA35" s="97"/>
      <c r="AB35" s="82"/>
      <c r="AC35" s="69"/>
      <c r="AD35" s="86" t="s">
        <v>66</v>
      </c>
      <c r="AE35" s="52">
        <v>0</v>
      </c>
      <c r="AF35" s="97"/>
      <c r="AG35" s="82"/>
      <c r="AH35" s="69"/>
      <c r="AI35" s="86" t="s">
        <v>66</v>
      </c>
      <c r="AJ35" s="52">
        <v>0</v>
      </c>
      <c r="AK35" s="97"/>
      <c r="AL35" s="82"/>
      <c r="AM35" s="69"/>
      <c r="AN35" s="86" t="s">
        <v>66</v>
      </c>
      <c r="AO35" s="52">
        <v>0</v>
      </c>
      <c r="AP35" s="97"/>
      <c r="AQ35" s="82"/>
      <c r="AR35" s="69"/>
      <c r="AS35" s="86" t="s">
        <v>66</v>
      </c>
      <c r="AT35" s="52">
        <v>0</v>
      </c>
      <c r="AU35" s="97"/>
      <c r="AV35" s="82"/>
      <c r="AW35" s="69"/>
      <c r="AX35" s="86" t="s">
        <v>66</v>
      </c>
      <c r="AY35" s="52">
        <v>0</v>
      </c>
      <c r="AZ35" s="97"/>
      <c r="BA35" s="82"/>
      <c r="BB35" s="69"/>
      <c r="BC35" s="86" t="s">
        <v>66</v>
      </c>
      <c r="BD35" s="52">
        <v>0</v>
      </c>
      <c r="BE35" s="97"/>
      <c r="BF35" s="82"/>
      <c r="BG35" s="69"/>
      <c r="BH35" s="86" t="s">
        <v>66</v>
      </c>
      <c r="BI35" s="52">
        <v>0</v>
      </c>
      <c r="BJ35" s="97"/>
      <c r="BK35" s="78"/>
    </row>
    <row r="36" spans="2:63" x14ac:dyDescent="0.25">
      <c r="B36" s="71"/>
      <c r="C36" s="69"/>
      <c r="D36" s="69"/>
      <c r="E36" s="86" t="s">
        <v>67</v>
      </c>
      <c r="F36" s="52">
        <v>0</v>
      </c>
      <c r="G36" s="97"/>
      <c r="H36" s="82"/>
      <c r="I36" s="69"/>
      <c r="J36" s="86" t="s">
        <v>67</v>
      </c>
      <c r="K36" s="52">
        <v>0</v>
      </c>
      <c r="L36" s="97"/>
      <c r="M36" s="82"/>
      <c r="N36" s="69"/>
      <c r="O36" s="86" t="s">
        <v>67</v>
      </c>
      <c r="P36" s="52">
        <v>0</v>
      </c>
      <c r="Q36" s="97"/>
      <c r="R36" s="82"/>
      <c r="S36" s="69"/>
      <c r="T36" s="86" t="s">
        <v>67</v>
      </c>
      <c r="U36" s="52">
        <v>0</v>
      </c>
      <c r="V36" s="97"/>
      <c r="W36" s="82"/>
      <c r="X36" s="69"/>
      <c r="Y36" s="86" t="s">
        <v>67</v>
      </c>
      <c r="Z36" s="52">
        <v>0</v>
      </c>
      <c r="AA36" s="97"/>
      <c r="AB36" s="82"/>
      <c r="AC36" s="69"/>
      <c r="AD36" s="86" t="s">
        <v>67</v>
      </c>
      <c r="AE36" s="52">
        <v>0</v>
      </c>
      <c r="AF36" s="97"/>
      <c r="AG36" s="82"/>
      <c r="AH36" s="69"/>
      <c r="AI36" s="86" t="s">
        <v>67</v>
      </c>
      <c r="AJ36" s="52">
        <v>0</v>
      </c>
      <c r="AK36" s="97"/>
      <c r="AL36" s="82"/>
      <c r="AM36" s="69"/>
      <c r="AN36" s="86" t="s">
        <v>67</v>
      </c>
      <c r="AO36" s="52">
        <v>0</v>
      </c>
      <c r="AP36" s="97"/>
      <c r="AQ36" s="82"/>
      <c r="AR36" s="69"/>
      <c r="AS36" s="86" t="s">
        <v>67</v>
      </c>
      <c r="AT36" s="52">
        <v>0</v>
      </c>
      <c r="AU36" s="97"/>
      <c r="AV36" s="82"/>
      <c r="AW36" s="69"/>
      <c r="AX36" s="86" t="s">
        <v>67</v>
      </c>
      <c r="AY36" s="52">
        <v>0</v>
      </c>
      <c r="AZ36" s="97"/>
      <c r="BA36" s="82"/>
      <c r="BB36" s="69"/>
      <c r="BC36" s="86" t="s">
        <v>67</v>
      </c>
      <c r="BD36" s="52">
        <v>0</v>
      </c>
      <c r="BE36" s="97"/>
      <c r="BF36" s="82"/>
      <c r="BG36" s="69"/>
      <c r="BH36" s="86" t="s">
        <v>67</v>
      </c>
      <c r="BI36" s="52">
        <v>0</v>
      </c>
      <c r="BJ36" s="97"/>
      <c r="BK36" s="78"/>
    </row>
    <row r="37" spans="2:63" x14ac:dyDescent="0.25">
      <c r="B37" s="71"/>
      <c r="C37" s="69"/>
      <c r="D37" s="69"/>
      <c r="E37" s="86" t="s">
        <v>69</v>
      </c>
      <c r="F37" s="52">
        <v>0</v>
      </c>
      <c r="G37" s="97"/>
      <c r="H37" s="82"/>
      <c r="I37" s="69"/>
      <c r="J37" s="86" t="s">
        <v>69</v>
      </c>
      <c r="K37" s="52">
        <v>0</v>
      </c>
      <c r="L37" s="97"/>
      <c r="M37" s="82"/>
      <c r="N37" s="69"/>
      <c r="O37" s="86" t="s">
        <v>69</v>
      </c>
      <c r="P37" s="52">
        <v>0</v>
      </c>
      <c r="Q37" s="97"/>
      <c r="R37" s="82"/>
      <c r="S37" s="69"/>
      <c r="T37" s="86" t="s">
        <v>69</v>
      </c>
      <c r="U37" s="52">
        <v>0</v>
      </c>
      <c r="V37" s="97"/>
      <c r="W37" s="82"/>
      <c r="X37" s="69"/>
      <c r="Y37" s="86" t="s">
        <v>69</v>
      </c>
      <c r="Z37" s="52">
        <v>0</v>
      </c>
      <c r="AA37" s="97"/>
      <c r="AB37" s="82"/>
      <c r="AC37" s="69"/>
      <c r="AD37" s="86" t="s">
        <v>69</v>
      </c>
      <c r="AE37" s="52">
        <v>0</v>
      </c>
      <c r="AF37" s="97"/>
      <c r="AG37" s="82"/>
      <c r="AH37" s="69"/>
      <c r="AI37" s="86" t="s">
        <v>69</v>
      </c>
      <c r="AJ37" s="52">
        <v>0</v>
      </c>
      <c r="AK37" s="97"/>
      <c r="AL37" s="82"/>
      <c r="AM37" s="69"/>
      <c r="AN37" s="86" t="s">
        <v>69</v>
      </c>
      <c r="AO37" s="52">
        <v>0</v>
      </c>
      <c r="AP37" s="97"/>
      <c r="AQ37" s="82"/>
      <c r="AR37" s="69"/>
      <c r="AS37" s="86" t="s">
        <v>69</v>
      </c>
      <c r="AT37" s="52">
        <v>0</v>
      </c>
      <c r="AU37" s="97"/>
      <c r="AV37" s="82"/>
      <c r="AW37" s="69"/>
      <c r="AX37" s="86" t="s">
        <v>69</v>
      </c>
      <c r="AY37" s="52">
        <v>0</v>
      </c>
      <c r="AZ37" s="97"/>
      <c r="BA37" s="82"/>
      <c r="BB37" s="69"/>
      <c r="BC37" s="86" t="s">
        <v>69</v>
      </c>
      <c r="BD37" s="52">
        <v>0</v>
      </c>
      <c r="BE37" s="97"/>
      <c r="BF37" s="82"/>
      <c r="BG37" s="69"/>
      <c r="BH37" s="86" t="s">
        <v>69</v>
      </c>
      <c r="BI37" s="52">
        <v>0</v>
      </c>
      <c r="BJ37" s="97"/>
      <c r="BK37" s="78"/>
    </row>
    <row r="38" spans="2:63" ht="15.75" thickBot="1" x14ac:dyDescent="0.3">
      <c r="B38" s="71"/>
      <c r="C38" s="69"/>
      <c r="D38" s="69"/>
      <c r="E38" s="87" t="s">
        <v>68</v>
      </c>
      <c r="F38" s="50">
        <v>0</v>
      </c>
      <c r="G38" s="98"/>
      <c r="H38" s="82"/>
      <c r="I38" s="69"/>
      <c r="J38" s="87" t="s">
        <v>68</v>
      </c>
      <c r="K38" s="50">
        <v>0</v>
      </c>
      <c r="L38" s="98"/>
      <c r="M38" s="82"/>
      <c r="N38" s="69"/>
      <c r="O38" s="87" t="s">
        <v>68</v>
      </c>
      <c r="P38" s="50">
        <v>0</v>
      </c>
      <c r="Q38" s="98"/>
      <c r="R38" s="82"/>
      <c r="S38" s="69"/>
      <c r="T38" s="87" t="s">
        <v>68</v>
      </c>
      <c r="U38" s="50">
        <v>0</v>
      </c>
      <c r="V38" s="98"/>
      <c r="W38" s="82"/>
      <c r="X38" s="69"/>
      <c r="Y38" s="87" t="s">
        <v>68</v>
      </c>
      <c r="Z38" s="50">
        <v>0</v>
      </c>
      <c r="AA38" s="98"/>
      <c r="AB38" s="82"/>
      <c r="AC38" s="69"/>
      <c r="AD38" s="87" t="s">
        <v>68</v>
      </c>
      <c r="AE38" s="50">
        <v>0</v>
      </c>
      <c r="AF38" s="98"/>
      <c r="AG38" s="82"/>
      <c r="AH38" s="69"/>
      <c r="AI38" s="87" t="s">
        <v>68</v>
      </c>
      <c r="AJ38" s="50">
        <v>0</v>
      </c>
      <c r="AK38" s="98"/>
      <c r="AL38" s="82"/>
      <c r="AM38" s="69"/>
      <c r="AN38" s="87" t="s">
        <v>68</v>
      </c>
      <c r="AO38" s="50">
        <v>0</v>
      </c>
      <c r="AP38" s="98"/>
      <c r="AQ38" s="82"/>
      <c r="AR38" s="69"/>
      <c r="AS38" s="87" t="s">
        <v>68</v>
      </c>
      <c r="AT38" s="50">
        <v>0</v>
      </c>
      <c r="AU38" s="98"/>
      <c r="AV38" s="82"/>
      <c r="AW38" s="69"/>
      <c r="AX38" s="87" t="s">
        <v>68</v>
      </c>
      <c r="AY38" s="50">
        <v>0</v>
      </c>
      <c r="AZ38" s="98"/>
      <c r="BA38" s="82"/>
      <c r="BB38" s="69"/>
      <c r="BC38" s="87" t="s">
        <v>68</v>
      </c>
      <c r="BD38" s="50">
        <v>0</v>
      </c>
      <c r="BE38" s="98"/>
      <c r="BF38" s="82"/>
      <c r="BG38" s="69"/>
      <c r="BH38" s="87" t="s">
        <v>68</v>
      </c>
      <c r="BI38" s="50">
        <v>0</v>
      </c>
      <c r="BJ38" s="98"/>
      <c r="BK38" s="78"/>
    </row>
    <row r="39" spans="2:63" ht="15.75" thickBot="1" x14ac:dyDescent="0.3">
      <c r="B39" s="71"/>
      <c r="C39" s="69"/>
      <c r="D39" s="69"/>
      <c r="E39" s="187" t="s">
        <v>70</v>
      </c>
      <c r="F39" s="188"/>
      <c r="G39" s="43">
        <f>SUM(F40:F45)</f>
        <v>0</v>
      </c>
      <c r="H39" s="82"/>
      <c r="I39" s="69"/>
      <c r="J39" s="187" t="s">
        <v>70</v>
      </c>
      <c r="K39" s="188"/>
      <c r="L39" s="43">
        <f t="shared" ref="L39" si="55">SUM(K40:K45)</f>
        <v>0</v>
      </c>
      <c r="M39" s="82"/>
      <c r="N39" s="69"/>
      <c r="O39" s="187" t="s">
        <v>70</v>
      </c>
      <c r="P39" s="188"/>
      <c r="Q39" s="43">
        <f t="shared" ref="Q39" si="56">SUM(P40:P45)</f>
        <v>0</v>
      </c>
      <c r="R39" s="82"/>
      <c r="S39" s="69"/>
      <c r="T39" s="187" t="s">
        <v>70</v>
      </c>
      <c r="U39" s="188"/>
      <c r="V39" s="43">
        <f t="shared" ref="V39" si="57">SUM(U40:U45)</f>
        <v>0</v>
      </c>
      <c r="W39" s="82"/>
      <c r="X39" s="69"/>
      <c r="Y39" s="187" t="s">
        <v>70</v>
      </c>
      <c r="Z39" s="188"/>
      <c r="AA39" s="43">
        <f t="shared" ref="AA39" si="58">SUM(Z40:Z45)</f>
        <v>0</v>
      </c>
      <c r="AB39" s="82"/>
      <c r="AC39" s="69"/>
      <c r="AD39" s="187" t="s">
        <v>70</v>
      </c>
      <c r="AE39" s="188"/>
      <c r="AF39" s="43">
        <f t="shared" ref="AF39" si="59">SUM(AE40:AE45)</f>
        <v>0</v>
      </c>
      <c r="AG39" s="82"/>
      <c r="AH39" s="69"/>
      <c r="AI39" s="187" t="s">
        <v>70</v>
      </c>
      <c r="AJ39" s="188"/>
      <c r="AK39" s="43">
        <f t="shared" ref="AK39" si="60">SUM(AJ40:AJ45)</f>
        <v>0</v>
      </c>
      <c r="AL39" s="82"/>
      <c r="AM39" s="69"/>
      <c r="AN39" s="187" t="s">
        <v>70</v>
      </c>
      <c r="AO39" s="188"/>
      <c r="AP39" s="43">
        <f t="shared" ref="AP39" si="61">SUM(AO40:AO45)</f>
        <v>0</v>
      </c>
      <c r="AQ39" s="82"/>
      <c r="AR39" s="69"/>
      <c r="AS39" s="187" t="s">
        <v>70</v>
      </c>
      <c r="AT39" s="188"/>
      <c r="AU39" s="43">
        <f t="shared" ref="AU39" si="62">SUM(AT40:AT45)</f>
        <v>0</v>
      </c>
      <c r="AV39" s="82"/>
      <c r="AW39" s="69"/>
      <c r="AX39" s="187" t="s">
        <v>70</v>
      </c>
      <c r="AY39" s="188"/>
      <c r="AZ39" s="43">
        <f t="shared" ref="AZ39" si="63">SUM(AY40:AY45)</f>
        <v>0</v>
      </c>
      <c r="BA39" s="82"/>
      <c r="BB39" s="69"/>
      <c r="BC39" s="187" t="s">
        <v>70</v>
      </c>
      <c r="BD39" s="188"/>
      <c r="BE39" s="43">
        <f t="shared" ref="BE39" si="64">SUM(BD40:BD45)</f>
        <v>0</v>
      </c>
      <c r="BF39" s="82"/>
      <c r="BG39" s="69"/>
      <c r="BH39" s="187" t="s">
        <v>70</v>
      </c>
      <c r="BI39" s="188"/>
      <c r="BJ39" s="43">
        <f t="shared" ref="BJ39" si="65">SUM(BI40:BI45)</f>
        <v>0</v>
      </c>
      <c r="BK39" s="78"/>
    </row>
    <row r="40" spans="2:63" x14ac:dyDescent="0.25">
      <c r="B40" s="71"/>
      <c r="C40" s="69"/>
      <c r="D40" s="69"/>
      <c r="E40" s="84" t="s">
        <v>71</v>
      </c>
      <c r="F40" s="51">
        <v>0</v>
      </c>
      <c r="G40" s="96"/>
      <c r="H40" s="82"/>
      <c r="I40" s="69"/>
      <c r="J40" s="84" t="s">
        <v>71</v>
      </c>
      <c r="K40" s="51">
        <v>0</v>
      </c>
      <c r="L40" s="96"/>
      <c r="M40" s="82"/>
      <c r="N40" s="69"/>
      <c r="O40" s="84" t="s">
        <v>71</v>
      </c>
      <c r="P40" s="51">
        <v>0</v>
      </c>
      <c r="Q40" s="96"/>
      <c r="R40" s="82"/>
      <c r="S40" s="69"/>
      <c r="T40" s="84" t="s">
        <v>71</v>
      </c>
      <c r="U40" s="51">
        <v>0</v>
      </c>
      <c r="V40" s="96"/>
      <c r="W40" s="82"/>
      <c r="X40" s="69"/>
      <c r="Y40" s="84" t="s">
        <v>71</v>
      </c>
      <c r="Z40" s="51">
        <v>0</v>
      </c>
      <c r="AA40" s="96"/>
      <c r="AB40" s="82"/>
      <c r="AC40" s="69"/>
      <c r="AD40" s="84" t="s">
        <v>71</v>
      </c>
      <c r="AE40" s="51">
        <v>0</v>
      </c>
      <c r="AF40" s="96"/>
      <c r="AG40" s="82"/>
      <c r="AH40" s="69"/>
      <c r="AI40" s="84" t="s">
        <v>71</v>
      </c>
      <c r="AJ40" s="51">
        <v>0</v>
      </c>
      <c r="AK40" s="96"/>
      <c r="AL40" s="82"/>
      <c r="AM40" s="69"/>
      <c r="AN40" s="84" t="s">
        <v>71</v>
      </c>
      <c r="AO40" s="51">
        <v>0</v>
      </c>
      <c r="AP40" s="96"/>
      <c r="AQ40" s="82"/>
      <c r="AR40" s="69"/>
      <c r="AS40" s="84" t="s">
        <v>71</v>
      </c>
      <c r="AT40" s="51">
        <v>0</v>
      </c>
      <c r="AU40" s="96"/>
      <c r="AV40" s="82"/>
      <c r="AW40" s="69"/>
      <c r="AX40" s="84" t="s">
        <v>71</v>
      </c>
      <c r="AY40" s="51">
        <v>0</v>
      </c>
      <c r="AZ40" s="96"/>
      <c r="BA40" s="82"/>
      <c r="BB40" s="69"/>
      <c r="BC40" s="84" t="s">
        <v>71</v>
      </c>
      <c r="BD40" s="51">
        <v>0</v>
      </c>
      <c r="BE40" s="96"/>
      <c r="BF40" s="82"/>
      <c r="BG40" s="69"/>
      <c r="BH40" s="84" t="s">
        <v>71</v>
      </c>
      <c r="BI40" s="51">
        <v>0</v>
      </c>
      <c r="BJ40" s="96"/>
      <c r="BK40" s="78"/>
    </row>
    <row r="41" spans="2:63" x14ac:dyDescent="0.25">
      <c r="B41" s="71"/>
      <c r="C41" s="69"/>
      <c r="D41" s="69"/>
      <c r="E41" s="86" t="s">
        <v>72</v>
      </c>
      <c r="F41" s="52">
        <v>0</v>
      </c>
      <c r="G41" s="97"/>
      <c r="H41" s="82"/>
      <c r="I41" s="69"/>
      <c r="J41" s="86" t="s">
        <v>72</v>
      </c>
      <c r="K41" s="52">
        <v>0</v>
      </c>
      <c r="L41" s="97"/>
      <c r="M41" s="82"/>
      <c r="N41" s="69"/>
      <c r="O41" s="86" t="s">
        <v>72</v>
      </c>
      <c r="P41" s="52">
        <v>0</v>
      </c>
      <c r="Q41" s="97"/>
      <c r="R41" s="82"/>
      <c r="S41" s="69"/>
      <c r="T41" s="86" t="s">
        <v>72</v>
      </c>
      <c r="U41" s="52">
        <v>0</v>
      </c>
      <c r="V41" s="97"/>
      <c r="W41" s="82"/>
      <c r="X41" s="69"/>
      <c r="Y41" s="86" t="s">
        <v>72</v>
      </c>
      <c r="Z41" s="52">
        <v>0</v>
      </c>
      <c r="AA41" s="97"/>
      <c r="AB41" s="82"/>
      <c r="AC41" s="69"/>
      <c r="AD41" s="86" t="s">
        <v>72</v>
      </c>
      <c r="AE41" s="52">
        <v>0</v>
      </c>
      <c r="AF41" s="97"/>
      <c r="AG41" s="82"/>
      <c r="AH41" s="69"/>
      <c r="AI41" s="86" t="s">
        <v>72</v>
      </c>
      <c r="AJ41" s="52">
        <v>0</v>
      </c>
      <c r="AK41" s="97"/>
      <c r="AL41" s="82"/>
      <c r="AM41" s="69"/>
      <c r="AN41" s="86" t="s">
        <v>72</v>
      </c>
      <c r="AO41" s="52">
        <v>0</v>
      </c>
      <c r="AP41" s="97"/>
      <c r="AQ41" s="82"/>
      <c r="AR41" s="69"/>
      <c r="AS41" s="86" t="s">
        <v>72</v>
      </c>
      <c r="AT41" s="52">
        <v>0</v>
      </c>
      <c r="AU41" s="97"/>
      <c r="AV41" s="82"/>
      <c r="AW41" s="69"/>
      <c r="AX41" s="86" t="s">
        <v>72</v>
      </c>
      <c r="AY41" s="52">
        <v>0</v>
      </c>
      <c r="AZ41" s="97"/>
      <c r="BA41" s="82"/>
      <c r="BB41" s="69"/>
      <c r="BC41" s="86" t="s">
        <v>72</v>
      </c>
      <c r="BD41" s="52">
        <v>0</v>
      </c>
      <c r="BE41" s="97"/>
      <c r="BF41" s="82"/>
      <c r="BG41" s="69"/>
      <c r="BH41" s="86" t="s">
        <v>72</v>
      </c>
      <c r="BI41" s="52">
        <v>0</v>
      </c>
      <c r="BJ41" s="97"/>
      <c r="BK41" s="78"/>
    </row>
    <row r="42" spans="2:63" x14ac:dyDescent="0.25">
      <c r="B42" s="71"/>
      <c r="C42" s="69"/>
      <c r="D42" s="69"/>
      <c r="E42" s="86" t="s">
        <v>73</v>
      </c>
      <c r="F42" s="52">
        <v>0</v>
      </c>
      <c r="G42" s="97"/>
      <c r="H42" s="82"/>
      <c r="I42" s="69"/>
      <c r="J42" s="86" t="s">
        <v>73</v>
      </c>
      <c r="K42" s="52">
        <v>0</v>
      </c>
      <c r="L42" s="97"/>
      <c r="M42" s="82"/>
      <c r="N42" s="69"/>
      <c r="O42" s="86" t="s">
        <v>73</v>
      </c>
      <c r="P42" s="52">
        <v>0</v>
      </c>
      <c r="Q42" s="97"/>
      <c r="R42" s="82"/>
      <c r="S42" s="69"/>
      <c r="T42" s="86" t="s">
        <v>73</v>
      </c>
      <c r="U42" s="52">
        <v>0</v>
      </c>
      <c r="V42" s="97"/>
      <c r="W42" s="82"/>
      <c r="X42" s="69"/>
      <c r="Y42" s="86" t="s">
        <v>73</v>
      </c>
      <c r="Z42" s="52">
        <v>0</v>
      </c>
      <c r="AA42" s="97"/>
      <c r="AB42" s="82"/>
      <c r="AC42" s="69"/>
      <c r="AD42" s="86" t="s">
        <v>73</v>
      </c>
      <c r="AE42" s="52">
        <v>0</v>
      </c>
      <c r="AF42" s="97"/>
      <c r="AG42" s="82"/>
      <c r="AH42" s="69"/>
      <c r="AI42" s="86" t="s">
        <v>73</v>
      </c>
      <c r="AJ42" s="52">
        <v>0</v>
      </c>
      <c r="AK42" s="97"/>
      <c r="AL42" s="82"/>
      <c r="AM42" s="69"/>
      <c r="AN42" s="86" t="s">
        <v>73</v>
      </c>
      <c r="AO42" s="52">
        <v>0</v>
      </c>
      <c r="AP42" s="97"/>
      <c r="AQ42" s="82"/>
      <c r="AR42" s="69"/>
      <c r="AS42" s="86" t="s">
        <v>73</v>
      </c>
      <c r="AT42" s="52">
        <v>0</v>
      </c>
      <c r="AU42" s="97"/>
      <c r="AV42" s="82"/>
      <c r="AW42" s="69"/>
      <c r="AX42" s="86" t="s">
        <v>73</v>
      </c>
      <c r="AY42" s="52">
        <v>0</v>
      </c>
      <c r="AZ42" s="97"/>
      <c r="BA42" s="82"/>
      <c r="BB42" s="69"/>
      <c r="BC42" s="86" t="s">
        <v>73</v>
      </c>
      <c r="BD42" s="52">
        <v>0</v>
      </c>
      <c r="BE42" s="97"/>
      <c r="BF42" s="82"/>
      <c r="BG42" s="69"/>
      <c r="BH42" s="86" t="s">
        <v>73</v>
      </c>
      <c r="BI42" s="52">
        <v>0</v>
      </c>
      <c r="BJ42" s="97"/>
      <c r="BK42" s="78"/>
    </row>
    <row r="43" spans="2:63" x14ac:dyDescent="0.25">
      <c r="B43" s="71"/>
      <c r="C43" s="69"/>
      <c r="D43" s="69"/>
      <c r="E43" s="86" t="s">
        <v>74</v>
      </c>
      <c r="F43" s="52">
        <v>0</v>
      </c>
      <c r="G43" s="97"/>
      <c r="H43" s="82"/>
      <c r="I43" s="69"/>
      <c r="J43" s="86" t="s">
        <v>74</v>
      </c>
      <c r="K43" s="52">
        <v>0</v>
      </c>
      <c r="L43" s="97"/>
      <c r="M43" s="82"/>
      <c r="N43" s="69"/>
      <c r="O43" s="86" t="s">
        <v>74</v>
      </c>
      <c r="P43" s="52">
        <v>0</v>
      </c>
      <c r="Q43" s="97"/>
      <c r="R43" s="82"/>
      <c r="S43" s="69"/>
      <c r="T43" s="86" t="s">
        <v>74</v>
      </c>
      <c r="U43" s="52">
        <v>0</v>
      </c>
      <c r="V43" s="97"/>
      <c r="W43" s="82"/>
      <c r="X43" s="69"/>
      <c r="Y43" s="86" t="s">
        <v>74</v>
      </c>
      <c r="Z43" s="52">
        <v>0</v>
      </c>
      <c r="AA43" s="97"/>
      <c r="AB43" s="82"/>
      <c r="AC43" s="69"/>
      <c r="AD43" s="86" t="s">
        <v>74</v>
      </c>
      <c r="AE43" s="52">
        <v>0</v>
      </c>
      <c r="AF43" s="97"/>
      <c r="AG43" s="82"/>
      <c r="AH43" s="69"/>
      <c r="AI43" s="86" t="s">
        <v>74</v>
      </c>
      <c r="AJ43" s="52">
        <v>0</v>
      </c>
      <c r="AK43" s="97"/>
      <c r="AL43" s="82"/>
      <c r="AM43" s="69"/>
      <c r="AN43" s="86" t="s">
        <v>74</v>
      </c>
      <c r="AO43" s="52">
        <v>0</v>
      </c>
      <c r="AP43" s="97"/>
      <c r="AQ43" s="82"/>
      <c r="AR43" s="69"/>
      <c r="AS43" s="86" t="s">
        <v>74</v>
      </c>
      <c r="AT43" s="52">
        <v>0</v>
      </c>
      <c r="AU43" s="97"/>
      <c r="AV43" s="82"/>
      <c r="AW43" s="69"/>
      <c r="AX43" s="86" t="s">
        <v>74</v>
      </c>
      <c r="AY43" s="52">
        <v>0</v>
      </c>
      <c r="AZ43" s="97"/>
      <c r="BA43" s="82"/>
      <c r="BB43" s="69"/>
      <c r="BC43" s="86" t="s">
        <v>74</v>
      </c>
      <c r="BD43" s="52">
        <v>0</v>
      </c>
      <c r="BE43" s="97"/>
      <c r="BF43" s="82"/>
      <c r="BG43" s="69"/>
      <c r="BH43" s="86" t="s">
        <v>74</v>
      </c>
      <c r="BI43" s="52">
        <v>0</v>
      </c>
      <c r="BJ43" s="97"/>
      <c r="BK43" s="78"/>
    </row>
    <row r="44" spans="2:63" x14ac:dyDescent="0.25">
      <c r="B44" s="71"/>
      <c r="C44" s="69"/>
      <c r="D44" s="69"/>
      <c r="E44" s="86" t="s">
        <v>75</v>
      </c>
      <c r="F44" s="52">
        <v>0</v>
      </c>
      <c r="G44" s="97"/>
      <c r="H44" s="82"/>
      <c r="I44" s="69"/>
      <c r="J44" s="86" t="s">
        <v>75</v>
      </c>
      <c r="K44" s="52">
        <v>0</v>
      </c>
      <c r="L44" s="97"/>
      <c r="M44" s="82"/>
      <c r="N44" s="69"/>
      <c r="O44" s="86" t="s">
        <v>75</v>
      </c>
      <c r="P44" s="52">
        <v>0</v>
      </c>
      <c r="Q44" s="97"/>
      <c r="R44" s="82"/>
      <c r="S44" s="69"/>
      <c r="T44" s="86" t="s">
        <v>75</v>
      </c>
      <c r="U44" s="52">
        <v>0</v>
      </c>
      <c r="V44" s="97"/>
      <c r="W44" s="82"/>
      <c r="X44" s="69"/>
      <c r="Y44" s="86" t="s">
        <v>75</v>
      </c>
      <c r="Z44" s="52">
        <v>0</v>
      </c>
      <c r="AA44" s="97"/>
      <c r="AB44" s="82"/>
      <c r="AC44" s="69"/>
      <c r="AD44" s="86" t="s">
        <v>75</v>
      </c>
      <c r="AE44" s="52">
        <v>0</v>
      </c>
      <c r="AF44" s="97"/>
      <c r="AG44" s="82"/>
      <c r="AH44" s="69"/>
      <c r="AI44" s="86" t="s">
        <v>75</v>
      </c>
      <c r="AJ44" s="52">
        <v>0</v>
      </c>
      <c r="AK44" s="97"/>
      <c r="AL44" s="82"/>
      <c r="AM44" s="69"/>
      <c r="AN44" s="86" t="s">
        <v>75</v>
      </c>
      <c r="AO44" s="52">
        <v>0</v>
      </c>
      <c r="AP44" s="97"/>
      <c r="AQ44" s="82"/>
      <c r="AR44" s="69"/>
      <c r="AS44" s="86" t="s">
        <v>75</v>
      </c>
      <c r="AT44" s="52">
        <v>0</v>
      </c>
      <c r="AU44" s="97"/>
      <c r="AV44" s="82"/>
      <c r="AW44" s="69"/>
      <c r="AX44" s="86" t="s">
        <v>75</v>
      </c>
      <c r="AY44" s="52">
        <v>0</v>
      </c>
      <c r="AZ44" s="97"/>
      <c r="BA44" s="82"/>
      <c r="BB44" s="69"/>
      <c r="BC44" s="86" t="s">
        <v>75</v>
      </c>
      <c r="BD44" s="52">
        <v>0</v>
      </c>
      <c r="BE44" s="97"/>
      <c r="BF44" s="82"/>
      <c r="BG44" s="69"/>
      <c r="BH44" s="86" t="s">
        <v>75</v>
      </c>
      <c r="BI44" s="52">
        <v>0</v>
      </c>
      <c r="BJ44" s="97"/>
      <c r="BK44" s="78"/>
    </row>
    <row r="45" spans="2:63" ht="15.75" thickBot="1" x14ac:dyDescent="0.3">
      <c r="B45" s="71"/>
      <c r="C45" s="69"/>
      <c r="D45" s="69"/>
      <c r="E45" s="87" t="s">
        <v>76</v>
      </c>
      <c r="F45" s="50">
        <v>0</v>
      </c>
      <c r="G45" s="98"/>
      <c r="H45" s="82"/>
      <c r="I45" s="69"/>
      <c r="J45" s="87" t="s">
        <v>76</v>
      </c>
      <c r="K45" s="50">
        <v>0</v>
      </c>
      <c r="L45" s="98"/>
      <c r="M45" s="82"/>
      <c r="N45" s="69"/>
      <c r="O45" s="87" t="s">
        <v>76</v>
      </c>
      <c r="P45" s="50">
        <v>0</v>
      </c>
      <c r="Q45" s="98"/>
      <c r="R45" s="82"/>
      <c r="S45" s="69"/>
      <c r="T45" s="87" t="s">
        <v>76</v>
      </c>
      <c r="U45" s="50">
        <v>0</v>
      </c>
      <c r="V45" s="98"/>
      <c r="W45" s="82"/>
      <c r="X45" s="69"/>
      <c r="Y45" s="87" t="s">
        <v>76</v>
      </c>
      <c r="Z45" s="50">
        <v>0</v>
      </c>
      <c r="AA45" s="98"/>
      <c r="AB45" s="82"/>
      <c r="AC45" s="69"/>
      <c r="AD45" s="87" t="s">
        <v>76</v>
      </c>
      <c r="AE45" s="50">
        <v>0</v>
      </c>
      <c r="AF45" s="98"/>
      <c r="AG45" s="82"/>
      <c r="AH45" s="69"/>
      <c r="AI45" s="87" t="s">
        <v>76</v>
      </c>
      <c r="AJ45" s="50">
        <v>0</v>
      </c>
      <c r="AK45" s="98"/>
      <c r="AL45" s="82"/>
      <c r="AM45" s="69"/>
      <c r="AN45" s="87" t="s">
        <v>76</v>
      </c>
      <c r="AO45" s="50">
        <v>0</v>
      </c>
      <c r="AP45" s="98"/>
      <c r="AQ45" s="82"/>
      <c r="AR45" s="69"/>
      <c r="AS45" s="87" t="s">
        <v>76</v>
      </c>
      <c r="AT45" s="50">
        <v>0</v>
      </c>
      <c r="AU45" s="98"/>
      <c r="AV45" s="82"/>
      <c r="AW45" s="69"/>
      <c r="AX45" s="87" t="s">
        <v>76</v>
      </c>
      <c r="AY45" s="50">
        <v>0</v>
      </c>
      <c r="AZ45" s="98"/>
      <c r="BA45" s="82"/>
      <c r="BB45" s="69"/>
      <c r="BC45" s="87" t="s">
        <v>76</v>
      </c>
      <c r="BD45" s="50">
        <v>0</v>
      </c>
      <c r="BE45" s="98"/>
      <c r="BF45" s="82"/>
      <c r="BG45" s="69"/>
      <c r="BH45" s="87" t="s">
        <v>76</v>
      </c>
      <c r="BI45" s="50">
        <v>0</v>
      </c>
      <c r="BJ45" s="98"/>
      <c r="BK45" s="78"/>
    </row>
    <row r="46" spans="2:63" ht="15.75" thickBot="1" x14ac:dyDescent="0.3">
      <c r="B46" s="71"/>
      <c r="C46" s="69"/>
      <c r="D46" s="69"/>
      <c r="E46" s="187" t="s">
        <v>77</v>
      </c>
      <c r="F46" s="188"/>
      <c r="G46" s="43">
        <f>SUM(F47:F50)</f>
        <v>0</v>
      </c>
      <c r="H46" s="82"/>
      <c r="I46" s="69"/>
      <c r="J46" s="187" t="s">
        <v>77</v>
      </c>
      <c r="K46" s="188"/>
      <c r="L46" s="43">
        <f t="shared" ref="L46" si="66">SUM(K47:K50)</f>
        <v>0</v>
      </c>
      <c r="M46" s="82"/>
      <c r="N46" s="69"/>
      <c r="O46" s="187" t="s">
        <v>77</v>
      </c>
      <c r="P46" s="188"/>
      <c r="Q46" s="43">
        <f t="shared" ref="Q46" si="67">SUM(P47:P50)</f>
        <v>0</v>
      </c>
      <c r="R46" s="82"/>
      <c r="S46" s="69"/>
      <c r="T46" s="187" t="s">
        <v>77</v>
      </c>
      <c r="U46" s="188"/>
      <c r="V46" s="43">
        <f t="shared" ref="V46" si="68">SUM(U47:U50)</f>
        <v>0</v>
      </c>
      <c r="W46" s="82"/>
      <c r="X46" s="69"/>
      <c r="Y46" s="187" t="s">
        <v>77</v>
      </c>
      <c r="Z46" s="188"/>
      <c r="AA46" s="43">
        <f t="shared" ref="AA46" si="69">SUM(Z47:Z50)</f>
        <v>0</v>
      </c>
      <c r="AB46" s="82"/>
      <c r="AC46" s="69"/>
      <c r="AD46" s="187" t="s">
        <v>77</v>
      </c>
      <c r="AE46" s="188"/>
      <c r="AF46" s="43">
        <f t="shared" ref="AF46" si="70">SUM(AE47:AE50)</f>
        <v>0</v>
      </c>
      <c r="AG46" s="82"/>
      <c r="AH46" s="69"/>
      <c r="AI46" s="187" t="s">
        <v>77</v>
      </c>
      <c r="AJ46" s="188"/>
      <c r="AK46" s="43">
        <f t="shared" ref="AK46" si="71">SUM(AJ47:AJ50)</f>
        <v>0</v>
      </c>
      <c r="AL46" s="82"/>
      <c r="AM46" s="69"/>
      <c r="AN46" s="187" t="s">
        <v>77</v>
      </c>
      <c r="AO46" s="188"/>
      <c r="AP46" s="43">
        <f t="shared" ref="AP46" si="72">SUM(AO47:AO50)</f>
        <v>0</v>
      </c>
      <c r="AQ46" s="82"/>
      <c r="AR46" s="69"/>
      <c r="AS46" s="187" t="s">
        <v>77</v>
      </c>
      <c r="AT46" s="188"/>
      <c r="AU46" s="43">
        <f t="shared" ref="AU46" si="73">SUM(AT47:AT50)</f>
        <v>0</v>
      </c>
      <c r="AV46" s="82"/>
      <c r="AW46" s="69"/>
      <c r="AX46" s="187" t="s">
        <v>77</v>
      </c>
      <c r="AY46" s="188"/>
      <c r="AZ46" s="43">
        <f t="shared" ref="AZ46" si="74">SUM(AY47:AY50)</f>
        <v>0</v>
      </c>
      <c r="BA46" s="82"/>
      <c r="BB46" s="69"/>
      <c r="BC46" s="187" t="s">
        <v>77</v>
      </c>
      <c r="BD46" s="188"/>
      <c r="BE46" s="43">
        <f t="shared" ref="BE46" si="75">SUM(BD47:BD50)</f>
        <v>0</v>
      </c>
      <c r="BF46" s="82"/>
      <c r="BG46" s="69"/>
      <c r="BH46" s="187" t="s">
        <v>77</v>
      </c>
      <c r="BI46" s="188"/>
      <c r="BJ46" s="43">
        <f t="shared" ref="BJ46" si="76">SUM(BI47:BI50)</f>
        <v>0</v>
      </c>
      <c r="BK46" s="78"/>
    </row>
    <row r="47" spans="2:63" x14ac:dyDescent="0.25">
      <c r="B47" s="71"/>
      <c r="C47" s="69"/>
      <c r="D47" s="69"/>
      <c r="E47" s="84" t="s">
        <v>79</v>
      </c>
      <c r="F47" s="51">
        <v>0</v>
      </c>
      <c r="G47" s="96"/>
      <c r="H47" s="82"/>
      <c r="I47" s="69"/>
      <c r="J47" s="84" t="s">
        <v>79</v>
      </c>
      <c r="K47" s="51">
        <v>0</v>
      </c>
      <c r="L47" s="96"/>
      <c r="M47" s="82"/>
      <c r="N47" s="69"/>
      <c r="O47" s="84" t="s">
        <v>79</v>
      </c>
      <c r="P47" s="51">
        <v>0</v>
      </c>
      <c r="Q47" s="96"/>
      <c r="R47" s="82"/>
      <c r="S47" s="69"/>
      <c r="T47" s="84" t="s">
        <v>79</v>
      </c>
      <c r="U47" s="51">
        <v>0</v>
      </c>
      <c r="V47" s="96"/>
      <c r="W47" s="82"/>
      <c r="X47" s="69"/>
      <c r="Y47" s="84" t="s">
        <v>79</v>
      </c>
      <c r="Z47" s="51">
        <v>0</v>
      </c>
      <c r="AA47" s="96"/>
      <c r="AB47" s="82"/>
      <c r="AC47" s="69"/>
      <c r="AD47" s="84" t="s">
        <v>79</v>
      </c>
      <c r="AE47" s="51">
        <v>0</v>
      </c>
      <c r="AF47" s="96"/>
      <c r="AG47" s="82"/>
      <c r="AH47" s="69"/>
      <c r="AI47" s="84" t="s">
        <v>79</v>
      </c>
      <c r="AJ47" s="51">
        <v>0</v>
      </c>
      <c r="AK47" s="96"/>
      <c r="AL47" s="82"/>
      <c r="AM47" s="69"/>
      <c r="AN47" s="84" t="s">
        <v>79</v>
      </c>
      <c r="AO47" s="51">
        <v>0</v>
      </c>
      <c r="AP47" s="96"/>
      <c r="AQ47" s="82"/>
      <c r="AR47" s="69"/>
      <c r="AS47" s="84" t="s">
        <v>79</v>
      </c>
      <c r="AT47" s="51">
        <v>0</v>
      </c>
      <c r="AU47" s="96"/>
      <c r="AV47" s="82"/>
      <c r="AW47" s="69"/>
      <c r="AX47" s="84" t="s">
        <v>79</v>
      </c>
      <c r="AY47" s="51">
        <v>0</v>
      </c>
      <c r="AZ47" s="96"/>
      <c r="BA47" s="82"/>
      <c r="BB47" s="69"/>
      <c r="BC47" s="84" t="s">
        <v>79</v>
      </c>
      <c r="BD47" s="51">
        <v>0</v>
      </c>
      <c r="BE47" s="96"/>
      <c r="BF47" s="82"/>
      <c r="BG47" s="69"/>
      <c r="BH47" s="84" t="s">
        <v>79</v>
      </c>
      <c r="BI47" s="51">
        <v>0</v>
      </c>
      <c r="BJ47" s="96"/>
      <c r="BK47" s="78"/>
    </row>
    <row r="48" spans="2:63" x14ac:dyDescent="0.25">
      <c r="B48" s="71"/>
      <c r="C48" s="69"/>
      <c r="D48" s="69"/>
      <c r="E48" s="86" t="s">
        <v>80</v>
      </c>
      <c r="F48" s="52">
        <v>0</v>
      </c>
      <c r="G48" s="97"/>
      <c r="H48" s="82"/>
      <c r="I48" s="69"/>
      <c r="J48" s="86" t="s">
        <v>80</v>
      </c>
      <c r="K48" s="52">
        <v>0</v>
      </c>
      <c r="L48" s="97"/>
      <c r="M48" s="82"/>
      <c r="N48" s="69"/>
      <c r="O48" s="86" t="s">
        <v>80</v>
      </c>
      <c r="P48" s="52">
        <v>0</v>
      </c>
      <c r="Q48" s="97"/>
      <c r="R48" s="82"/>
      <c r="S48" s="69"/>
      <c r="T48" s="86" t="s">
        <v>80</v>
      </c>
      <c r="U48" s="52">
        <v>0</v>
      </c>
      <c r="V48" s="97"/>
      <c r="W48" s="82"/>
      <c r="X48" s="69"/>
      <c r="Y48" s="86" t="s">
        <v>80</v>
      </c>
      <c r="Z48" s="52">
        <v>0</v>
      </c>
      <c r="AA48" s="97"/>
      <c r="AB48" s="82"/>
      <c r="AC48" s="69"/>
      <c r="AD48" s="86" t="s">
        <v>80</v>
      </c>
      <c r="AE48" s="52">
        <v>0</v>
      </c>
      <c r="AF48" s="97"/>
      <c r="AG48" s="82"/>
      <c r="AH48" s="69"/>
      <c r="AI48" s="86" t="s">
        <v>80</v>
      </c>
      <c r="AJ48" s="52">
        <v>0</v>
      </c>
      <c r="AK48" s="97"/>
      <c r="AL48" s="82"/>
      <c r="AM48" s="69"/>
      <c r="AN48" s="86" t="s">
        <v>80</v>
      </c>
      <c r="AO48" s="52">
        <v>0</v>
      </c>
      <c r="AP48" s="97"/>
      <c r="AQ48" s="82"/>
      <c r="AR48" s="69"/>
      <c r="AS48" s="86" t="s">
        <v>80</v>
      </c>
      <c r="AT48" s="52">
        <v>0</v>
      </c>
      <c r="AU48" s="97"/>
      <c r="AV48" s="82"/>
      <c r="AW48" s="69"/>
      <c r="AX48" s="86" t="s">
        <v>80</v>
      </c>
      <c r="AY48" s="52">
        <v>0</v>
      </c>
      <c r="AZ48" s="97"/>
      <c r="BA48" s="82"/>
      <c r="BB48" s="69"/>
      <c r="BC48" s="86" t="s">
        <v>80</v>
      </c>
      <c r="BD48" s="52">
        <v>0</v>
      </c>
      <c r="BE48" s="97"/>
      <c r="BF48" s="82"/>
      <c r="BG48" s="69"/>
      <c r="BH48" s="86" t="s">
        <v>80</v>
      </c>
      <c r="BI48" s="52">
        <v>0</v>
      </c>
      <c r="BJ48" s="97"/>
      <c r="BK48" s="78"/>
    </row>
    <row r="49" spans="2:63" x14ac:dyDescent="0.25">
      <c r="B49" s="71"/>
      <c r="C49" s="69"/>
      <c r="D49" s="69"/>
      <c r="E49" s="86" t="s">
        <v>81</v>
      </c>
      <c r="F49" s="52">
        <v>0</v>
      </c>
      <c r="G49" s="97"/>
      <c r="H49" s="82"/>
      <c r="I49" s="69"/>
      <c r="J49" s="86" t="s">
        <v>81</v>
      </c>
      <c r="K49" s="52">
        <v>0</v>
      </c>
      <c r="L49" s="97"/>
      <c r="M49" s="82"/>
      <c r="N49" s="69"/>
      <c r="O49" s="86" t="s">
        <v>81</v>
      </c>
      <c r="P49" s="52">
        <v>0</v>
      </c>
      <c r="Q49" s="97"/>
      <c r="R49" s="82"/>
      <c r="S49" s="69"/>
      <c r="T49" s="86" t="s">
        <v>81</v>
      </c>
      <c r="U49" s="52">
        <v>0</v>
      </c>
      <c r="V49" s="97"/>
      <c r="W49" s="82"/>
      <c r="X49" s="69"/>
      <c r="Y49" s="86" t="s">
        <v>81</v>
      </c>
      <c r="Z49" s="52">
        <v>0</v>
      </c>
      <c r="AA49" s="97"/>
      <c r="AB49" s="82"/>
      <c r="AC49" s="69"/>
      <c r="AD49" s="86" t="s">
        <v>81</v>
      </c>
      <c r="AE49" s="52">
        <v>0</v>
      </c>
      <c r="AF49" s="97"/>
      <c r="AG49" s="82"/>
      <c r="AH49" s="69"/>
      <c r="AI49" s="86" t="s">
        <v>81</v>
      </c>
      <c r="AJ49" s="52">
        <v>0</v>
      </c>
      <c r="AK49" s="97"/>
      <c r="AL49" s="82"/>
      <c r="AM49" s="69"/>
      <c r="AN49" s="86" t="s">
        <v>81</v>
      </c>
      <c r="AO49" s="52">
        <v>0</v>
      </c>
      <c r="AP49" s="97"/>
      <c r="AQ49" s="82"/>
      <c r="AR49" s="69"/>
      <c r="AS49" s="86" t="s">
        <v>81</v>
      </c>
      <c r="AT49" s="52">
        <v>0</v>
      </c>
      <c r="AU49" s="97"/>
      <c r="AV49" s="82"/>
      <c r="AW49" s="69"/>
      <c r="AX49" s="86" t="s">
        <v>81</v>
      </c>
      <c r="AY49" s="52">
        <v>0</v>
      </c>
      <c r="AZ49" s="97"/>
      <c r="BA49" s="82"/>
      <c r="BB49" s="69"/>
      <c r="BC49" s="86" t="s">
        <v>81</v>
      </c>
      <c r="BD49" s="52">
        <v>0</v>
      </c>
      <c r="BE49" s="97"/>
      <c r="BF49" s="82"/>
      <c r="BG49" s="69"/>
      <c r="BH49" s="86" t="s">
        <v>81</v>
      </c>
      <c r="BI49" s="52">
        <v>0</v>
      </c>
      <c r="BJ49" s="97"/>
      <c r="BK49" s="78"/>
    </row>
    <row r="50" spans="2:63" ht="15.75" thickBot="1" x14ac:dyDescent="0.3">
      <c r="B50" s="71"/>
      <c r="C50" s="69"/>
      <c r="D50" s="69"/>
      <c r="E50" s="87" t="s">
        <v>82</v>
      </c>
      <c r="F50" s="50">
        <v>0</v>
      </c>
      <c r="G50" s="98"/>
      <c r="H50" s="82"/>
      <c r="I50" s="69"/>
      <c r="J50" s="87" t="s">
        <v>82</v>
      </c>
      <c r="K50" s="50">
        <v>0</v>
      </c>
      <c r="L50" s="98"/>
      <c r="M50" s="82"/>
      <c r="N50" s="69"/>
      <c r="O50" s="87" t="s">
        <v>82</v>
      </c>
      <c r="P50" s="50">
        <v>0</v>
      </c>
      <c r="Q50" s="98"/>
      <c r="R50" s="82"/>
      <c r="S50" s="69"/>
      <c r="T50" s="87" t="s">
        <v>82</v>
      </c>
      <c r="U50" s="50">
        <v>0</v>
      </c>
      <c r="V50" s="98"/>
      <c r="W50" s="82"/>
      <c r="X50" s="69"/>
      <c r="Y50" s="87" t="s">
        <v>82</v>
      </c>
      <c r="Z50" s="50">
        <v>0</v>
      </c>
      <c r="AA50" s="98"/>
      <c r="AB50" s="82"/>
      <c r="AC50" s="69"/>
      <c r="AD50" s="87" t="s">
        <v>82</v>
      </c>
      <c r="AE50" s="50">
        <v>0</v>
      </c>
      <c r="AF50" s="98"/>
      <c r="AG50" s="82"/>
      <c r="AH50" s="69"/>
      <c r="AI50" s="87" t="s">
        <v>82</v>
      </c>
      <c r="AJ50" s="50">
        <v>0</v>
      </c>
      <c r="AK50" s="98"/>
      <c r="AL50" s="82"/>
      <c r="AM50" s="69"/>
      <c r="AN50" s="87" t="s">
        <v>82</v>
      </c>
      <c r="AO50" s="50">
        <v>0</v>
      </c>
      <c r="AP50" s="98"/>
      <c r="AQ50" s="82"/>
      <c r="AR50" s="69"/>
      <c r="AS50" s="87" t="s">
        <v>82</v>
      </c>
      <c r="AT50" s="50">
        <v>0</v>
      </c>
      <c r="AU50" s="98"/>
      <c r="AV50" s="82"/>
      <c r="AW50" s="69"/>
      <c r="AX50" s="87" t="s">
        <v>82</v>
      </c>
      <c r="AY50" s="50">
        <v>0</v>
      </c>
      <c r="AZ50" s="98"/>
      <c r="BA50" s="82"/>
      <c r="BB50" s="69"/>
      <c r="BC50" s="87" t="s">
        <v>82</v>
      </c>
      <c r="BD50" s="50">
        <v>0</v>
      </c>
      <c r="BE50" s="98"/>
      <c r="BF50" s="82"/>
      <c r="BG50" s="69"/>
      <c r="BH50" s="87" t="s">
        <v>82</v>
      </c>
      <c r="BI50" s="50">
        <v>0</v>
      </c>
      <c r="BJ50" s="98"/>
      <c r="BK50" s="78"/>
    </row>
    <row r="51" spans="2:63" ht="15.75" thickBot="1" x14ac:dyDescent="0.3">
      <c r="B51" s="71"/>
      <c r="C51" s="69"/>
      <c r="D51" s="69"/>
      <c r="E51" s="187" t="s">
        <v>83</v>
      </c>
      <c r="F51" s="188"/>
      <c r="G51" s="43">
        <f>SUM(F52:F54)</f>
        <v>0</v>
      </c>
      <c r="H51" s="82"/>
      <c r="I51" s="69"/>
      <c r="J51" s="187" t="s">
        <v>83</v>
      </c>
      <c r="K51" s="188"/>
      <c r="L51" s="43">
        <f t="shared" ref="L51" si="77">SUM(K52:K54)</f>
        <v>0</v>
      </c>
      <c r="M51" s="82"/>
      <c r="N51" s="69"/>
      <c r="O51" s="187" t="s">
        <v>83</v>
      </c>
      <c r="P51" s="188"/>
      <c r="Q51" s="43">
        <f t="shared" ref="Q51" si="78">SUM(P52:P54)</f>
        <v>0</v>
      </c>
      <c r="R51" s="82"/>
      <c r="S51" s="69"/>
      <c r="T51" s="187" t="s">
        <v>83</v>
      </c>
      <c r="U51" s="188"/>
      <c r="V51" s="43">
        <f t="shared" ref="V51" si="79">SUM(U52:U54)</f>
        <v>0</v>
      </c>
      <c r="W51" s="82"/>
      <c r="X51" s="69"/>
      <c r="Y51" s="187" t="s">
        <v>83</v>
      </c>
      <c r="Z51" s="188"/>
      <c r="AA51" s="43">
        <f t="shared" ref="AA51" si="80">SUM(Z52:Z54)</f>
        <v>0</v>
      </c>
      <c r="AB51" s="82"/>
      <c r="AC51" s="69"/>
      <c r="AD51" s="187" t="s">
        <v>83</v>
      </c>
      <c r="AE51" s="188"/>
      <c r="AF51" s="43">
        <f t="shared" ref="AF51" si="81">SUM(AE52:AE54)</f>
        <v>0</v>
      </c>
      <c r="AG51" s="82"/>
      <c r="AH51" s="69"/>
      <c r="AI51" s="187" t="s">
        <v>83</v>
      </c>
      <c r="AJ51" s="188"/>
      <c r="AK51" s="43">
        <f t="shared" ref="AK51" si="82">SUM(AJ52:AJ54)</f>
        <v>0</v>
      </c>
      <c r="AL51" s="82"/>
      <c r="AM51" s="69"/>
      <c r="AN51" s="187" t="s">
        <v>83</v>
      </c>
      <c r="AO51" s="188"/>
      <c r="AP51" s="43">
        <f t="shared" ref="AP51" si="83">SUM(AO52:AO54)</f>
        <v>0</v>
      </c>
      <c r="AQ51" s="82"/>
      <c r="AR51" s="69"/>
      <c r="AS51" s="187" t="s">
        <v>83</v>
      </c>
      <c r="AT51" s="188"/>
      <c r="AU51" s="43">
        <f t="shared" ref="AU51" si="84">SUM(AT52:AT54)</f>
        <v>0</v>
      </c>
      <c r="AV51" s="82"/>
      <c r="AW51" s="69"/>
      <c r="AX51" s="187" t="s">
        <v>83</v>
      </c>
      <c r="AY51" s="188"/>
      <c r="AZ51" s="43">
        <f t="shared" ref="AZ51" si="85">SUM(AY52:AY54)</f>
        <v>0</v>
      </c>
      <c r="BA51" s="82"/>
      <c r="BB51" s="69"/>
      <c r="BC51" s="187" t="s">
        <v>83</v>
      </c>
      <c r="BD51" s="188"/>
      <c r="BE51" s="43">
        <f t="shared" ref="BE51" si="86">SUM(BD52:BD54)</f>
        <v>0</v>
      </c>
      <c r="BF51" s="82"/>
      <c r="BG51" s="69"/>
      <c r="BH51" s="187" t="s">
        <v>83</v>
      </c>
      <c r="BI51" s="188"/>
      <c r="BJ51" s="43">
        <f t="shared" ref="BJ51" si="87">SUM(BI52:BI54)</f>
        <v>0</v>
      </c>
      <c r="BK51" s="78"/>
    </row>
    <row r="52" spans="2:63" x14ac:dyDescent="0.25">
      <c r="B52" s="71"/>
      <c r="C52" s="69"/>
      <c r="D52" s="69"/>
      <c r="E52" s="84" t="s">
        <v>85</v>
      </c>
      <c r="F52" s="51">
        <v>0</v>
      </c>
      <c r="G52" s="96"/>
      <c r="H52" s="82"/>
      <c r="I52" s="69"/>
      <c r="J52" s="84" t="s">
        <v>85</v>
      </c>
      <c r="K52" s="51">
        <v>0</v>
      </c>
      <c r="L52" s="96"/>
      <c r="M52" s="82"/>
      <c r="N52" s="69"/>
      <c r="O52" s="84" t="s">
        <v>85</v>
      </c>
      <c r="P52" s="51">
        <v>0</v>
      </c>
      <c r="Q52" s="96"/>
      <c r="R52" s="82"/>
      <c r="S52" s="69"/>
      <c r="T52" s="84" t="s">
        <v>85</v>
      </c>
      <c r="U52" s="51">
        <v>0</v>
      </c>
      <c r="V52" s="96"/>
      <c r="W52" s="82"/>
      <c r="X52" s="69"/>
      <c r="Y52" s="84" t="s">
        <v>85</v>
      </c>
      <c r="Z52" s="51">
        <v>0</v>
      </c>
      <c r="AA52" s="96"/>
      <c r="AB52" s="82"/>
      <c r="AC52" s="69"/>
      <c r="AD52" s="84" t="s">
        <v>85</v>
      </c>
      <c r="AE52" s="51">
        <v>0</v>
      </c>
      <c r="AF52" s="96"/>
      <c r="AG52" s="82"/>
      <c r="AH52" s="69"/>
      <c r="AI52" s="84" t="s">
        <v>85</v>
      </c>
      <c r="AJ52" s="51">
        <v>0</v>
      </c>
      <c r="AK52" s="96"/>
      <c r="AL52" s="82"/>
      <c r="AM52" s="69"/>
      <c r="AN52" s="84" t="s">
        <v>85</v>
      </c>
      <c r="AO52" s="51">
        <v>0</v>
      </c>
      <c r="AP52" s="96"/>
      <c r="AQ52" s="82"/>
      <c r="AR52" s="69"/>
      <c r="AS52" s="84" t="s">
        <v>85</v>
      </c>
      <c r="AT52" s="51">
        <v>0</v>
      </c>
      <c r="AU52" s="96"/>
      <c r="AV52" s="82"/>
      <c r="AW52" s="69"/>
      <c r="AX52" s="84" t="s">
        <v>85</v>
      </c>
      <c r="AY52" s="51">
        <v>0</v>
      </c>
      <c r="AZ52" s="96"/>
      <c r="BA52" s="82"/>
      <c r="BB52" s="69"/>
      <c r="BC52" s="84" t="s">
        <v>85</v>
      </c>
      <c r="BD52" s="51">
        <v>0</v>
      </c>
      <c r="BE52" s="96"/>
      <c r="BF52" s="82"/>
      <c r="BG52" s="69"/>
      <c r="BH52" s="84" t="s">
        <v>85</v>
      </c>
      <c r="BI52" s="51">
        <v>0</v>
      </c>
      <c r="BJ52" s="96"/>
      <c r="BK52" s="78"/>
    </row>
    <row r="53" spans="2:63" x14ac:dyDescent="0.25">
      <c r="B53" s="71"/>
      <c r="C53" s="69"/>
      <c r="D53" s="69"/>
      <c r="E53" s="86" t="s">
        <v>84</v>
      </c>
      <c r="F53" s="52">
        <v>0</v>
      </c>
      <c r="G53" s="97"/>
      <c r="H53" s="82"/>
      <c r="I53" s="69"/>
      <c r="J53" s="86" t="s">
        <v>84</v>
      </c>
      <c r="K53" s="52">
        <v>0</v>
      </c>
      <c r="L53" s="97"/>
      <c r="M53" s="82"/>
      <c r="N53" s="69"/>
      <c r="O53" s="86" t="s">
        <v>84</v>
      </c>
      <c r="P53" s="52">
        <v>0</v>
      </c>
      <c r="Q53" s="97"/>
      <c r="R53" s="82"/>
      <c r="S53" s="69"/>
      <c r="T53" s="86" t="s">
        <v>84</v>
      </c>
      <c r="U53" s="52">
        <v>0</v>
      </c>
      <c r="V53" s="97"/>
      <c r="W53" s="82"/>
      <c r="X53" s="69"/>
      <c r="Y53" s="86" t="s">
        <v>84</v>
      </c>
      <c r="Z53" s="52">
        <v>0</v>
      </c>
      <c r="AA53" s="97"/>
      <c r="AB53" s="82"/>
      <c r="AC53" s="69"/>
      <c r="AD53" s="86" t="s">
        <v>84</v>
      </c>
      <c r="AE53" s="52">
        <v>0</v>
      </c>
      <c r="AF53" s="97"/>
      <c r="AG53" s="82"/>
      <c r="AH53" s="69"/>
      <c r="AI53" s="86" t="s">
        <v>84</v>
      </c>
      <c r="AJ53" s="52">
        <v>0</v>
      </c>
      <c r="AK53" s="97"/>
      <c r="AL53" s="82"/>
      <c r="AM53" s="69"/>
      <c r="AN53" s="86" t="s">
        <v>84</v>
      </c>
      <c r="AO53" s="52">
        <v>0</v>
      </c>
      <c r="AP53" s="97"/>
      <c r="AQ53" s="82"/>
      <c r="AR53" s="69"/>
      <c r="AS53" s="86" t="s">
        <v>84</v>
      </c>
      <c r="AT53" s="52">
        <v>0</v>
      </c>
      <c r="AU53" s="97"/>
      <c r="AV53" s="82"/>
      <c r="AW53" s="69"/>
      <c r="AX53" s="86" t="s">
        <v>84</v>
      </c>
      <c r="AY53" s="52">
        <v>0</v>
      </c>
      <c r="AZ53" s="97"/>
      <c r="BA53" s="82"/>
      <c r="BB53" s="69"/>
      <c r="BC53" s="86" t="s">
        <v>84</v>
      </c>
      <c r="BD53" s="52">
        <v>0</v>
      </c>
      <c r="BE53" s="97"/>
      <c r="BF53" s="82"/>
      <c r="BG53" s="69"/>
      <c r="BH53" s="86" t="s">
        <v>84</v>
      </c>
      <c r="BI53" s="52">
        <v>0</v>
      </c>
      <c r="BJ53" s="97"/>
      <c r="BK53" s="78"/>
    </row>
    <row r="54" spans="2:63" ht="15.75" thickBot="1" x14ac:dyDescent="0.3">
      <c r="B54" s="71"/>
      <c r="C54" s="69"/>
      <c r="D54" s="69"/>
      <c r="E54" s="87" t="s">
        <v>86</v>
      </c>
      <c r="F54" s="50">
        <v>0</v>
      </c>
      <c r="G54" s="98"/>
      <c r="H54" s="82"/>
      <c r="I54" s="69"/>
      <c r="J54" s="87" t="s">
        <v>86</v>
      </c>
      <c r="K54" s="50">
        <v>0</v>
      </c>
      <c r="L54" s="98"/>
      <c r="M54" s="82"/>
      <c r="N54" s="69"/>
      <c r="O54" s="87" t="s">
        <v>86</v>
      </c>
      <c r="P54" s="50">
        <v>0</v>
      </c>
      <c r="Q54" s="98"/>
      <c r="R54" s="82"/>
      <c r="S54" s="69"/>
      <c r="T54" s="87" t="s">
        <v>86</v>
      </c>
      <c r="U54" s="50">
        <v>0</v>
      </c>
      <c r="V54" s="98"/>
      <c r="W54" s="82"/>
      <c r="X54" s="69"/>
      <c r="Y54" s="87" t="s">
        <v>86</v>
      </c>
      <c r="Z54" s="50">
        <v>0</v>
      </c>
      <c r="AA54" s="98"/>
      <c r="AB54" s="82"/>
      <c r="AC54" s="69"/>
      <c r="AD54" s="87" t="s">
        <v>86</v>
      </c>
      <c r="AE54" s="50">
        <v>0</v>
      </c>
      <c r="AF54" s="98"/>
      <c r="AG54" s="82"/>
      <c r="AH54" s="69"/>
      <c r="AI54" s="87" t="s">
        <v>86</v>
      </c>
      <c r="AJ54" s="50">
        <v>0</v>
      </c>
      <c r="AK54" s="98"/>
      <c r="AL54" s="82"/>
      <c r="AM54" s="69"/>
      <c r="AN54" s="87" t="s">
        <v>86</v>
      </c>
      <c r="AO54" s="50">
        <v>0</v>
      </c>
      <c r="AP54" s="98"/>
      <c r="AQ54" s="82"/>
      <c r="AR54" s="69"/>
      <c r="AS54" s="87" t="s">
        <v>86</v>
      </c>
      <c r="AT54" s="50">
        <v>0</v>
      </c>
      <c r="AU54" s="98"/>
      <c r="AV54" s="82"/>
      <c r="AW54" s="69"/>
      <c r="AX54" s="87" t="s">
        <v>86</v>
      </c>
      <c r="AY54" s="50">
        <v>0</v>
      </c>
      <c r="AZ54" s="98"/>
      <c r="BA54" s="82"/>
      <c r="BB54" s="69"/>
      <c r="BC54" s="87" t="s">
        <v>86</v>
      </c>
      <c r="BD54" s="50">
        <v>0</v>
      </c>
      <c r="BE54" s="98"/>
      <c r="BF54" s="82"/>
      <c r="BG54" s="69"/>
      <c r="BH54" s="87" t="s">
        <v>86</v>
      </c>
      <c r="BI54" s="50">
        <v>0</v>
      </c>
      <c r="BJ54" s="98"/>
      <c r="BK54" s="78"/>
    </row>
    <row r="55" spans="2:63" ht="15.75" thickBot="1" x14ac:dyDescent="0.3">
      <c r="B55" s="71"/>
      <c r="C55" s="69"/>
      <c r="D55" s="69"/>
      <c r="E55" s="187" t="s">
        <v>93</v>
      </c>
      <c r="F55" s="188"/>
      <c r="G55" s="43">
        <f>SUM(F56:F60)</f>
        <v>50</v>
      </c>
      <c r="H55" s="82"/>
      <c r="I55" s="69"/>
      <c r="J55" s="187" t="s">
        <v>93</v>
      </c>
      <c r="K55" s="188"/>
      <c r="L55" s="43">
        <f t="shared" ref="L55" si="88">SUM(K56:K60)</f>
        <v>0</v>
      </c>
      <c r="M55" s="82"/>
      <c r="N55" s="69"/>
      <c r="O55" s="187" t="s">
        <v>93</v>
      </c>
      <c r="P55" s="188"/>
      <c r="Q55" s="43">
        <f t="shared" ref="Q55" si="89">SUM(P56:P60)</f>
        <v>0</v>
      </c>
      <c r="R55" s="82"/>
      <c r="S55" s="69"/>
      <c r="T55" s="187" t="s">
        <v>93</v>
      </c>
      <c r="U55" s="188"/>
      <c r="V55" s="43">
        <f t="shared" ref="V55" si="90">SUM(U56:U60)</f>
        <v>0</v>
      </c>
      <c r="W55" s="82"/>
      <c r="X55" s="69"/>
      <c r="Y55" s="187" t="s">
        <v>93</v>
      </c>
      <c r="Z55" s="188"/>
      <c r="AA55" s="43">
        <f t="shared" ref="AA55" si="91">SUM(Z56:Z60)</f>
        <v>0</v>
      </c>
      <c r="AB55" s="82"/>
      <c r="AC55" s="69"/>
      <c r="AD55" s="187" t="s">
        <v>93</v>
      </c>
      <c r="AE55" s="188"/>
      <c r="AF55" s="43">
        <f t="shared" ref="AF55" si="92">SUM(AE56:AE60)</f>
        <v>0</v>
      </c>
      <c r="AG55" s="82"/>
      <c r="AH55" s="69"/>
      <c r="AI55" s="187" t="s">
        <v>93</v>
      </c>
      <c r="AJ55" s="188"/>
      <c r="AK55" s="43">
        <f t="shared" ref="AK55" si="93">SUM(AJ56:AJ60)</f>
        <v>0</v>
      </c>
      <c r="AL55" s="82"/>
      <c r="AM55" s="69"/>
      <c r="AN55" s="187" t="s">
        <v>93</v>
      </c>
      <c r="AO55" s="188"/>
      <c r="AP55" s="43">
        <f t="shared" ref="AP55" si="94">SUM(AO56:AO60)</f>
        <v>0</v>
      </c>
      <c r="AQ55" s="82"/>
      <c r="AR55" s="69"/>
      <c r="AS55" s="187" t="s">
        <v>93</v>
      </c>
      <c r="AT55" s="188"/>
      <c r="AU55" s="43">
        <f t="shared" ref="AU55" si="95">SUM(AT56:AT60)</f>
        <v>0</v>
      </c>
      <c r="AV55" s="82"/>
      <c r="AW55" s="69"/>
      <c r="AX55" s="187" t="s">
        <v>93</v>
      </c>
      <c r="AY55" s="188"/>
      <c r="AZ55" s="43">
        <f t="shared" ref="AZ55" si="96">SUM(AY56:AY60)</f>
        <v>0</v>
      </c>
      <c r="BA55" s="82"/>
      <c r="BB55" s="69"/>
      <c r="BC55" s="187" t="s">
        <v>93</v>
      </c>
      <c r="BD55" s="188"/>
      <c r="BE55" s="43">
        <f t="shared" ref="BE55" si="97">SUM(BD56:BD60)</f>
        <v>0</v>
      </c>
      <c r="BF55" s="82"/>
      <c r="BG55" s="69"/>
      <c r="BH55" s="187" t="s">
        <v>93</v>
      </c>
      <c r="BI55" s="188"/>
      <c r="BJ55" s="43">
        <f t="shared" ref="BJ55" si="98">SUM(BI56:BI60)</f>
        <v>0</v>
      </c>
      <c r="BK55" s="78"/>
    </row>
    <row r="56" spans="2:63" x14ac:dyDescent="0.25">
      <c r="B56" s="71"/>
      <c r="C56" s="69"/>
      <c r="D56" s="69"/>
      <c r="E56" s="84" t="s">
        <v>87</v>
      </c>
      <c r="F56" s="85">
        <f>SUM(Financing!E11:O11)</f>
        <v>50</v>
      </c>
      <c r="G56" s="96"/>
      <c r="H56" s="82"/>
      <c r="I56" s="69"/>
      <c r="J56" s="84" t="s">
        <v>87</v>
      </c>
      <c r="K56" s="85">
        <f>SUM(Financing!R11:AB11)</f>
        <v>0</v>
      </c>
      <c r="L56" s="96"/>
      <c r="M56" s="82"/>
      <c r="N56" s="69"/>
      <c r="O56" s="84" t="s">
        <v>87</v>
      </c>
      <c r="P56" s="85">
        <f>SUM(Financing!AE11:AO11)</f>
        <v>0</v>
      </c>
      <c r="Q56" s="96"/>
      <c r="R56" s="82"/>
      <c r="S56" s="69"/>
      <c r="T56" s="84" t="s">
        <v>87</v>
      </c>
      <c r="U56" s="85">
        <f>SUM(Financing!AR11:BB11)</f>
        <v>0</v>
      </c>
      <c r="V56" s="96"/>
      <c r="W56" s="82"/>
      <c r="X56" s="69"/>
      <c r="Y56" s="84" t="s">
        <v>87</v>
      </c>
      <c r="Z56" s="85">
        <f>SUM(Financing!BE11:BO11)</f>
        <v>0</v>
      </c>
      <c r="AA56" s="96"/>
      <c r="AB56" s="82"/>
      <c r="AC56" s="69"/>
      <c r="AD56" s="84" t="s">
        <v>87</v>
      </c>
      <c r="AE56" s="85">
        <f>SUM(Financing!BR11:CB11)</f>
        <v>0</v>
      </c>
      <c r="AF56" s="96"/>
      <c r="AG56" s="82"/>
      <c r="AH56" s="69"/>
      <c r="AI56" s="84" t="s">
        <v>87</v>
      </c>
      <c r="AJ56" s="85">
        <f>SUM(Financing!CE11:CO11)</f>
        <v>0</v>
      </c>
      <c r="AK56" s="96"/>
      <c r="AL56" s="82"/>
      <c r="AM56" s="69"/>
      <c r="AN56" s="84" t="s">
        <v>87</v>
      </c>
      <c r="AO56" s="85">
        <f>SUM(Financing!CR11:DB11)</f>
        <v>0</v>
      </c>
      <c r="AP56" s="96"/>
      <c r="AQ56" s="82"/>
      <c r="AR56" s="69"/>
      <c r="AS56" s="84" t="s">
        <v>87</v>
      </c>
      <c r="AT56" s="85">
        <f>SUM(Financing!DE11:DO11)</f>
        <v>0</v>
      </c>
      <c r="AU56" s="96"/>
      <c r="AV56" s="82"/>
      <c r="AW56" s="69"/>
      <c r="AX56" s="84" t="s">
        <v>87</v>
      </c>
      <c r="AY56" s="85">
        <f>SUM(Financing!DR11:EB11)</f>
        <v>0</v>
      </c>
      <c r="AZ56" s="96"/>
      <c r="BA56" s="82"/>
      <c r="BB56" s="69"/>
      <c r="BC56" s="84" t="s">
        <v>87</v>
      </c>
      <c r="BD56" s="85">
        <f>SUM(Financing!EE11:EO11)</f>
        <v>0</v>
      </c>
      <c r="BE56" s="96"/>
      <c r="BF56" s="82"/>
      <c r="BG56" s="69"/>
      <c r="BH56" s="84" t="s">
        <v>87</v>
      </c>
      <c r="BI56" s="85">
        <f>SUM(Financing!ER11:FB11)</f>
        <v>0</v>
      </c>
      <c r="BJ56" s="96"/>
      <c r="BK56" s="78"/>
    </row>
    <row r="57" spans="2:63" x14ac:dyDescent="0.25">
      <c r="B57" s="71"/>
      <c r="C57" s="69"/>
      <c r="D57" s="69"/>
      <c r="E57" s="88" t="s">
        <v>88</v>
      </c>
      <c r="F57" s="50">
        <v>0</v>
      </c>
      <c r="G57" s="97"/>
      <c r="H57" s="82"/>
      <c r="I57" s="69"/>
      <c r="J57" s="88" t="s">
        <v>88</v>
      </c>
      <c r="K57" s="50">
        <v>0</v>
      </c>
      <c r="L57" s="97"/>
      <c r="M57" s="82"/>
      <c r="N57" s="69"/>
      <c r="O57" s="88" t="s">
        <v>88</v>
      </c>
      <c r="P57" s="50">
        <v>0</v>
      </c>
      <c r="Q57" s="97"/>
      <c r="R57" s="82"/>
      <c r="S57" s="69"/>
      <c r="T57" s="88" t="s">
        <v>88</v>
      </c>
      <c r="U57" s="50">
        <v>0</v>
      </c>
      <c r="V57" s="97"/>
      <c r="W57" s="82"/>
      <c r="X57" s="69"/>
      <c r="Y57" s="88" t="s">
        <v>88</v>
      </c>
      <c r="Z57" s="50">
        <v>0</v>
      </c>
      <c r="AA57" s="97"/>
      <c r="AB57" s="82"/>
      <c r="AC57" s="69"/>
      <c r="AD57" s="88" t="s">
        <v>88</v>
      </c>
      <c r="AE57" s="50">
        <v>0</v>
      </c>
      <c r="AF57" s="97"/>
      <c r="AG57" s="82"/>
      <c r="AH57" s="69"/>
      <c r="AI57" s="88" t="s">
        <v>88</v>
      </c>
      <c r="AJ57" s="50">
        <v>0</v>
      </c>
      <c r="AK57" s="97"/>
      <c r="AL57" s="82"/>
      <c r="AM57" s="69"/>
      <c r="AN57" s="88" t="s">
        <v>88</v>
      </c>
      <c r="AO57" s="50">
        <v>0</v>
      </c>
      <c r="AP57" s="97"/>
      <c r="AQ57" s="82"/>
      <c r="AR57" s="69"/>
      <c r="AS57" s="88" t="s">
        <v>88</v>
      </c>
      <c r="AT57" s="50">
        <v>0</v>
      </c>
      <c r="AU57" s="97"/>
      <c r="AV57" s="82"/>
      <c r="AW57" s="69"/>
      <c r="AX57" s="88" t="s">
        <v>88</v>
      </c>
      <c r="AY57" s="50">
        <v>0</v>
      </c>
      <c r="AZ57" s="97"/>
      <c r="BA57" s="82"/>
      <c r="BB57" s="69"/>
      <c r="BC57" s="88" t="s">
        <v>88</v>
      </c>
      <c r="BD57" s="50">
        <v>0</v>
      </c>
      <c r="BE57" s="97"/>
      <c r="BF57" s="82"/>
      <c r="BG57" s="69"/>
      <c r="BH57" s="88" t="s">
        <v>88</v>
      </c>
      <c r="BI57" s="50">
        <v>0</v>
      </c>
      <c r="BJ57" s="97"/>
      <c r="BK57" s="78"/>
    </row>
    <row r="58" spans="2:63" x14ac:dyDescent="0.25">
      <c r="B58" s="71"/>
      <c r="C58" s="69"/>
      <c r="D58" s="69"/>
      <c r="E58" s="88" t="s">
        <v>89</v>
      </c>
      <c r="F58" s="50">
        <v>0</v>
      </c>
      <c r="G58" s="97"/>
      <c r="H58" s="82"/>
      <c r="I58" s="69"/>
      <c r="J58" s="88" t="s">
        <v>89</v>
      </c>
      <c r="K58" s="50">
        <v>0</v>
      </c>
      <c r="L58" s="97"/>
      <c r="M58" s="82"/>
      <c r="N58" s="69"/>
      <c r="O58" s="88" t="s">
        <v>89</v>
      </c>
      <c r="P58" s="50">
        <v>0</v>
      </c>
      <c r="Q58" s="97"/>
      <c r="R58" s="82"/>
      <c r="S58" s="69"/>
      <c r="T58" s="88" t="s">
        <v>89</v>
      </c>
      <c r="U58" s="50">
        <v>0</v>
      </c>
      <c r="V58" s="97"/>
      <c r="W58" s="82"/>
      <c r="X58" s="69"/>
      <c r="Y58" s="88" t="s">
        <v>89</v>
      </c>
      <c r="Z58" s="50">
        <v>0</v>
      </c>
      <c r="AA58" s="97"/>
      <c r="AB58" s="82"/>
      <c r="AC58" s="69"/>
      <c r="AD58" s="88" t="s">
        <v>89</v>
      </c>
      <c r="AE58" s="50">
        <v>0</v>
      </c>
      <c r="AF58" s="97"/>
      <c r="AG58" s="82"/>
      <c r="AH58" s="69"/>
      <c r="AI58" s="88" t="s">
        <v>89</v>
      </c>
      <c r="AJ58" s="50">
        <v>0</v>
      </c>
      <c r="AK58" s="97"/>
      <c r="AL58" s="82"/>
      <c r="AM58" s="69"/>
      <c r="AN58" s="88" t="s">
        <v>89</v>
      </c>
      <c r="AO58" s="50">
        <v>0</v>
      </c>
      <c r="AP58" s="97"/>
      <c r="AQ58" s="82"/>
      <c r="AR58" s="69"/>
      <c r="AS58" s="88" t="s">
        <v>89</v>
      </c>
      <c r="AT58" s="50">
        <v>0</v>
      </c>
      <c r="AU58" s="97"/>
      <c r="AV58" s="82"/>
      <c r="AW58" s="69"/>
      <c r="AX58" s="88" t="s">
        <v>89</v>
      </c>
      <c r="AY58" s="50">
        <v>0</v>
      </c>
      <c r="AZ58" s="97"/>
      <c r="BA58" s="82"/>
      <c r="BB58" s="69"/>
      <c r="BC58" s="88" t="s">
        <v>89</v>
      </c>
      <c r="BD58" s="50">
        <v>0</v>
      </c>
      <c r="BE58" s="97"/>
      <c r="BF58" s="82"/>
      <c r="BG58" s="69"/>
      <c r="BH58" s="88" t="s">
        <v>89</v>
      </c>
      <c r="BI58" s="50">
        <v>0</v>
      </c>
      <c r="BJ58" s="97"/>
      <c r="BK58" s="78"/>
    </row>
    <row r="59" spans="2:63" x14ac:dyDescent="0.25">
      <c r="B59" s="71"/>
      <c r="C59" s="69"/>
      <c r="D59" s="69"/>
      <c r="E59" s="88" t="s">
        <v>90</v>
      </c>
      <c r="F59" s="50">
        <v>0</v>
      </c>
      <c r="G59" s="97"/>
      <c r="H59" s="82"/>
      <c r="I59" s="69"/>
      <c r="J59" s="88" t="s">
        <v>90</v>
      </c>
      <c r="K59" s="50">
        <v>0</v>
      </c>
      <c r="L59" s="97"/>
      <c r="M59" s="82"/>
      <c r="N59" s="69"/>
      <c r="O59" s="88" t="s">
        <v>90</v>
      </c>
      <c r="P59" s="50">
        <v>0</v>
      </c>
      <c r="Q59" s="97"/>
      <c r="R59" s="82"/>
      <c r="S59" s="69"/>
      <c r="T59" s="88" t="s">
        <v>90</v>
      </c>
      <c r="U59" s="50">
        <v>0</v>
      </c>
      <c r="V59" s="97"/>
      <c r="W59" s="82"/>
      <c r="X59" s="69"/>
      <c r="Y59" s="88" t="s">
        <v>90</v>
      </c>
      <c r="Z59" s="50">
        <v>0</v>
      </c>
      <c r="AA59" s="97"/>
      <c r="AB59" s="82"/>
      <c r="AC59" s="69"/>
      <c r="AD59" s="88" t="s">
        <v>90</v>
      </c>
      <c r="AE59" s="50">
        <v>0</v>
      </c>
      <c r="AF59" s="97"/>
      <c r="AG59" s="82"/>
      <c r="AH59" s="69"/>
      <c r="AI59" s="88" t="s">
        <v>90</v>
      </c>
      <c r="AJ59" s="50">
        <v>0</v>
      </c>
      <c r="AK59" s="97"/>
      <c r="AL59" s="82"/>
      <c r="AM59" s="69"/>
      <c r="AN59" s="88" t="s">
        <v>90</v>
      </c>
      <c r="AO59" s="50">
        <v>0</v>
      </c>
      <c r="AP59" s="97"/>
      <c r="AQ59" s="82"/>
      <c r="AR59" s="69"/>
      <c r="AS59" s="88" t="s">
        <v>90</v>
      </c>
      <c r="AT59" s="50">
        <v>0</v>
      </c>
      <c r="AU59" s="97"/>
      <c r="AV59" s="82"/>
      <c r="AW59" s="69"/>
      <c r="AX59" s="88" t="s">
        <v>90</v>
      </c>
      <c r="AY59" s="50">
        <v>0</v>
      </c>
      <c r="AZ59" s="97"/>
      <c r="BA59" s="82"/>
      <c r="BB59" s="69"/>
      <c r="BC59" s="88" t="s">
        <v>90</v>
      </c>
      <c r="BD59" s="50">
        <v>0</v>
      </c>
      <c r="BE59" s="97"/>
      <c r="BF59" s="82"/>
      <c r="BG59" s="69"/>
      <c r="BH59" s="88" t="s">
        <v>90</v>
      </c>
      <c r="BI59" s="50">
        <v>0</v>
      </c>
      <c r="BJ59" s="97"/>
      <c r="BK59" s="78"/>
    </row>
    <row r="60" spans="2:63" ht="15.75" thickBot="1" x14ac:dyDescent="0.3">
      <c r="B60" s="71"/>
      <c r="C60" s="69"/>
      <c r="D60" s="69"/>
      <c r="E60" s="89" t="s">
        <v>91</v>
      </c>
      <c r="F60" s="50">
        <v>0</v>
      </c>
      <c r="G60" s="98"/>
      <c r="H60" s="82"/>
      <c r="I60" s="69"/>
      <c r="J60" s="89" t="s">
        <v>91</v>
      </c>
      <c r="K60" s="50">
        <v>0</v>
      </c>
      <c r="L60" s="98"/>
      <c r="M60" s="82"/>
      <c r="N60" s="69"/>
      <c r="O60" s="89" t="s">
        <v>91</v>
      </c>
      <c r="P60" s="50">
        <v>0</v>
      </c>
      <c r="Q60" s="98"/>
      <c r="R60" s="82"/>
      <c r="S60" s="69"/>
      <c r="T60" s="89" t="s">
        <v>91</v>
      </c>
      <c r="U60" s="50">
        <v>0</v>
      </c>
      <c r="V60" s="98"/>
      <c r="W60" s="82"/>
      <c r="X60" s="69"/>
      <c r="Y60" s="89" t="s">
        <v>91</v>
      </c>
      <c r="Z60" s="50">
        <v>0</v>
      </c>
      <c r="AA60" s="98"/>
      <c r="AB60" s="82"/>
      <c r="AC60" s="69"/>
      <c r="AD60" s="89" t="s">
        <v>91</v>
      </c>
      <c r="AE60" s="50">
        <v>0</v>
      </c>
      <c r="AF60" s="98"/>
      <c r="AG60" s="82"/>
      <c r="AH60" s="69"/>
      <c r="AI60" s="89" t="s">
        <v>91</v>
      </c>
      <c r="AJ60" s="50">
        <v>0</v>
      </c>
      <c r="AK60" s="98"/>
      <c r="AL60" s="82"/>
      <c r="AM60" s="69"/>
      <c r="AN60" s="89" t="s">
        <v>91</v>
      </c>
      <c r="AO60" s="50">
        <v>0</v>
      </c>
      <c r="AP60" s="98"/>
      <c r="AQ60" s="82"/>
      <c r="AR60" s="69"/>
      <c r="AS60" s="89" t="s">
        <v>91</v>
      </c>
      <c r="AT60" s="50">
        <v>0</v>
      </c>
      <c r="AU60" s="98"/>
      <c r="AV60" s="82"/>
      <c r="AW60" s="69"/>
      <c r="AX60" s="89" t="s">
        <v>91</v>
      </c>
      <c r="AY60" s="50">
        <v>0</v>
      </c>
      <c r="AZ60" s="98"/>
      <c r="BA60" s="82"/>
      <c r="BB60" s="69"/>
      <c r="BC60" s="89" t="s">
        <v>91</v>
      </c>
      <c r="BD60" s="50">
        <v>0</v>
      </c>
      <c r="BE60" s="98"/>
      <c r="BF60" s="82"/>
      <c r="BG60" s="69"/>
      <c r="BH60" s="89" t="s">
        <v>91</v>
      </c>
      <c r="BI60" s="50">
        <v>0</v>
      </c>
      <c r="BJ60" s="98"/>
      <c r="BK60" s="78"/>
    </row>
    <row r="61" spans="2:63" ht="15.75" thickBot="1" x14ac:dyDescent="0.3">
      <c r="B61" s="71"/>
      <c r="C61" s="69"/>
      <c r="D61" s="69"/>
      <c r="E61" s="185" t="s">
        <v>92</v>
      </c>
      <c r="F61" s="186"/>
      <c r="G61" s="44">
        <f>(F10-SUM(G55,G51,G46,G39,G29,G22,G18,G13))</f>
        <v>121</v>
      </c>
      <c r="H61" s="82"/>
      <c r="I61" s="69"/>
      <c r="J61" s="185" t="s">
        <v>92</v>
      </c>
      <c r="K61" s="186"/>
      <c r="L61" s="44">
        <f t="shared" ref="L61" si="99">(K10-SUM(L55,L51,L46,L39,L29,L22,L18,L13))</f>
        <v>0</v>
      </c>
      <c r="M61" s="82"/>
      <c r="N61" s="69"/>
      <c r="O61" s="185" t="s">
        <v>92</v>
      </c>
      <c r="P61" s="186"/>
      <c r="Q61" s="44">
        <f t="shared" ref="Q61" si="100">(P10-SUM(Q55,Q51,Q46,Q39,Q29,Q22,Q18,Q13))</f>
        <v>0</v>
      </c>
      <c r="R61" s="82"/>
      <c r="S61" s="69"/>
      <c r="T61" s="185" t="s">
        <v>92</v>
      </c>
      <c r="U61" s="186"/>
      <c r="V61" s="44">
        <f t="shared" ref="V61" si="101">(U10-SUM(V55,V51,V46,V39,V29,V22,V18,V13))</f>
        <v>0</v>
      </c>
      <c r="W61" s="82"/>
      <c r="X61" s="69"/>
      <c r="Y61" s="185" t="s">
        <v>92</v>
      </c>
      <c r="Z61" s="186"/>
      <c r="AA61" s="44">
        <f t="shared" ref="AA61" si="102">(Z10-SUM(AA55,AA51,AA46,AA39,AA29,AA22,AA18,AA13))</f>
        <v>0</v>
      </c>
      <c r="AB61" s="82"/>
      <c r="AC61" s="69"/>
      <c r="AD61" s="185" t="s">
        <v>92</v>
      </c>
      <c r="AE61" s="186"/>
      <c r="AF61" s="44">
        <f t="shared" ref="AF61" si="103">(AE10-SUM(AF55,AF51,AF46,AF39,AF29,AF22,AF18,AF13))</f>
        <v>0</v>
      </c>
      <c r="AG61" s="82"/>
      <c r="AH61" s="69"/>
      <c r="AI61" s="185" t="s">
        <v>92</v>
      </c>
      <c r="AJ61" s="186"/>
      <c r="AK61" s="44">
        <f t="shared" ref="AK61" si="104">(AJ10-SUM(AK55,AK51,AK46,AK39,AK29,AK22,AK18,AK13))</f>
        <v>0</v>
      </c>
      <c r="AL61" s="82"/>
      <c r="AM61" s="69"/>
      <c r="AN61" s="185" t="s">
        <v>92</v>
      </c>
      <c r="AO61" s="186"/>
      <c r="AP61" s="44">
        <f t="shared" ref="AP61" si="105">(AO10-SUM(AP55,AP51,AP46,AP39,AP29,AP22,AP18,AP13))</f>
        <v>0</v>
      </c>
      <c r="AQ61" s="82"/>
      <c r="AR61" s="69"/>
      <c r="AS61" s="185" t="s">
        <v>92</v>
      </c>
      <c r="AT61" s="186"/>
      <c r="AU61" s="44">
        <f t="shared" ref="AU61" si="106">(AT10-SUM(AU55,AU51,AU46,AU39,AU29,AU22,AU18,AU13))</f>
        <v>0</v>
      </c>
      <c r="AV61" s="82"/>
      <c r="AW61" s="69"/>
      <c r="AX61" s="185" t="s">
        <v>92</v>
      </c>
      <c r="AY61" s="186"/>
      <c r="AZ61" s="44">
        <f t="shared" ref="AZ61" si="107">(AY10-SUM(AZ55,AZ51,AZ46,AZ39,AZ29,AZ22,AZ18,AZ13))</f>
        <v>0</v>
      </c>
      <c r="BA61" s="82"/>
      <c r="BB61" s="69"/>
      <c r="BC61" s="185" t="s">
        <v>92</v>
      </c>
      <c r="BD61" s="186"/>
      <c r="BE61" s="44">
        <f t="shared" ref="BE61" si="108">(BD10-SUM(BE55,BE51,BE46,BE39,BE29,BE22,BE18,BE13))</f>
        <v>0</v>
      </c>
      <c r="BF61" s="82"/>
      <c r="BG61" s="69"/>
      <c r="BH61" s="185" t="s">
        <v>92</v>
      </c>
      <c r="BI61" s="186"/>
      <c r="BJ61" s="44">
        <f t="shared" ref="BJ61" si="109">(BI10-SUM(BJ55,BJ51,BJ46,BJ39,BJ29,BJ22,BJ18,BJ13))</f>
        <v>0</v>
      </c>
      <c r="BK61" s="78"/>
    </row>
    <row r="62" spans="2:63" ht="15.75" thickBot="1" x14ac:dyDescent="0.3">
      <c r="B62" s="72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9"/>
    </row>
  </sheetData>
  <sheetProtection algorithmName="SHA-512" hashValue="yfQvMp6B05XdyR2DxdsGzp6bvhbWIouO9+BAsWjcUPGQZp+cSSPJy9iSASXsvI28ASl3xT+XvzvvEjXRXd5nRA==" saltValue="1o3MrxKwzuOqzxRsYeirkw==" spinCount="100000" sheet="1" selectLockedCells="1"/>
  <mergeCells count="157">
    <mergeCell ref="T61:U61"/>
    <mergeCell ref="J55:K55"/>
    <mergeCell ref="T46:U46"/>
    <mergeCell ref="E46:F46"/>
    <mergeCell ref="E51:F51"/>
    <mergeCell ref="E55:F55"/>
    <mergeCell ref="T18:U18"/>
    <mergeCell ref="E18:F18"/>
    <mergeCell ref="E22:F22"/>
    <mergeCell ref="E39:F39"/>
    <mergeCell ref="E29:F29"/>
    <mergeCell ref="B2:C2"/>
    <mergeCell ref="E2:G2"/>
    <mergeCell ref="E12:G12"/>
    <mergeCell ref="E5:G5"/>
    <mergeCell ref="E13:F13"/>
    <mergeCell ref="E61:F61"/>
    <mergeCell ref="F10:G10"/>
    <mergeCell ref="O5:Q5"/>
    <mergeCell ref="K10:L10"/>
    <mergeCell ref="P10:Q10"/>
    <mergeCell ref="O12:Q12"/>
    <mergeCell ref="J22:K22"/>
    <mergeCell ref="O22:P22"/>
    <mergeCell ref="J46:K46"/>
    <mergeCell ref="O46:P46"/>
    <mergeCell ref="J61:K61"/>
    <mergeCell ref="O61:P61"/>
    <mergeCell ref="J18:K18"/>
    <mergeCell ref="O18:P18"/>
    <mergeCell ref="J29:K29"/>
    <mergeCell ref="O29:P29"/>
    <mergeCell ref="T29:U29"/>
    <mergeCell ref="J12:L12"/>
    <mergeCell ref="J13:K13"/>
    <mergeCell ref="O13:P13"/>
    <mergeCell ref="J2:L2"/>
    <mergeCell ref="O2:Q2"/>
    <mergeCell ref="J5:L5"/>
    <mergeCell ref="T5:V5"/>
    <mergeCell ref="T13:U13"/>
    <mergeCell ref="T2:V2"/>
    <mergeCell ref="T12:V12"/>
    <mergeCell ref="U10:V10"/>
    <mergeCell ref="T22:U22"/>
    <mergeCell ref="O55:P55"/>
    <mergeCell ref="T55:U55"/>
    <mergeCell ref="J51:K51"/>
    <mergeCell ref="O51:P51"/>
    <mergeCell ref="T51:U51"/>
    <mergeCell ref="AX2:AZ2"/>
    <mergeCell ref="BC2:BE2"/>
    <mergeCell ref="Z10:AA10"/>
    <mergeCell ref="AE10:AF10"/>
    <mergeCell ref="AJ10:AK10"/>
    <mergeCell ref="AO10:AP10"/>
    <mergeCell ref="AT10:AU10"/>
    <mergeCell ref="AY10:AZ10"/>
    <mergeCell ref="BD10:BE10"/>
    <mergeCell ref="J39:K39"/>
    <mergeCell ref="O39:P39"/>
    <mergeCell ref="T39:U39"/>
    <mergeCell ref="Y22:Z22"/>
    <mergeCell ref="AD22:AE22"/>
    <mergeCell ref="AI22:AJ22"/>
    <mergeCell ref="AN22:AO22"/>
    <mergeCell ref="AS22:AT22"/>
    <mergeCell ref="AX22:AY22"/>
    <mergeCell ref="BC22:BD22"/>
    <mergeCell ref="BH2:BJ2"/>
    <mergeCell ref="Y5:AA5"/>
    <mergeCell ref="AD5:AF5"/>
    <mergeCell ref="AI5:AK5"/>
    <mergeCell ref="AN5:AP5"/>
    <mergeCell ref="AS5:AU5"/>
    <mergeCell ref="AX5:AZ5"/>
    <mergeCell ref="BC5:BE5"/>
    <mergeCell ref="BH5:BJ5"/>
    <mergeCell ref="Y2:AA2"/>
    <mergeCell ref="AD2:AF2"/>
    <mergeCell ref="AI2:AK2"/>
    <mergeCell ref="AN2:AP2"/>
    <mergeCell ref="AS2:AU2"/>
    <mergeCell ref="BI10:BJ10"/>
    <mergeCell ref="AX12:AZ12"/>
    <mergeCell ref="BC12:BE12"/>
    <mergeCell ref="BH12:BJ12"/>
    <mergeCell ref="Y13:Z13"/>
    <mergeCell ref="AD13:AE13"/>
    <mergeCell ref="AI13:AJ13"/>
    <mergeCell ref="AN13:AO13"/>
    <mergeCell ref="AS13:AT13"/>
    <mergeCell ref="AX13:AY13"/>
    <mergeCell ref="BC13:BD13"/>
    <mergeCell ref="BH13:BI13"/>
    <mergeCell ref="AS12:AU12"/>
    <mergeCell ref="Y12:AA12"/>
    <mergeCell ref="AD12:AF12"/>
    <mergeCell ref="AI12:AK12"/>
    <mergeCell ref="AN12:AP12"/>
    <mergeCell ref="BH22:BI22"/>
    <mergeCell ref="Y18:Z18"/>
    <mergeCell ref="AD18:AE18"/>
    <mergeCell ref="AI18:AJ18"/>
    <mergeCell ref="AN18:AO18"/>
    <mergeCell ref="AS18:AT18"/>
    <mergeCell ref="AX18:AY18"/>
    <mergeCell ref="BC18:BD18"/>
    <mergeCell ref="BH18:BI18"/>
    <mergeCell ref="Y39:Z39"/>
    <mergeCell ref="AD39:AE39"/>
    <mergeCell ref="AI39:AJ39"/>
    <mergeCell ref="AN39:AO39"/>
    <mergeCell ref="AS39:AT39"/>
    <mergeCell ref="AX39:AY39"/>
    <mergeCell ref="BC39:BD39"/>
    <mergeCell ref="BH39:BI39"/>
    <mergeCell ref="Y29:Z29"/>
    <mergeCell ref="AD29:AE29"/>
    <mergeCell ref="AI29:AJ29"/>
    <mergeCell ref="AN29:AO29"/>
    <mergeCell ref="AS29:AT29"/>
    <mergeCell ref="AX29:AY29"/>
    <mergeCell ref="BC29:BD29"/>
    <mergeCell ref="BH29:BI29"/>
    <mergeCell ref="Y51:Z51"/>
    <mergeCell ref="AD51:AE51"/>
    <mergeCell ref="AI51:AJ51"/>
    <mergeCell ref="AN51:AO51"/>
    <mergeCell ref="AS51:AT51"/>
    <mergeCell ref="AX51:AY51"/>
    <mergeCell ref="BC51:BD51"/>
    <mergeCell ref="BH51:BI51"/>
    <mergeCell ref="Y46:Z46"/>
    <mergeCell ref="AD46:AE46"/>
    <mergeCell ref="AI46:AJ46"/>
    <mergeCell ref="AN46:AO46"/>
    <mergeCell ref="AS46:AT46"/>
    <mergeCell ref="AX46:AY46"/>
    <mergeCell ref="BC46:BD46"/>
    <mergeCell ref="BH46:BI46"/>
    <mergeCell ref="Y61:Z61"/>
    <mergeCell ref="AD61:AE61"/>
    <mergeCell ref="AI61:AJ61"/>
    <mergeCell ref="AN61:AO61"/>
    <mergeCell ref="AS61:AT61"/>
    <mergeCell ref="AX61:AY61"/>
    <mergeCell ref="BC61:BD61"/>
    <mergeCell ref="BH61:BI61"/>
    <mergeCell ref="Y55:Z55"/>
    <mergeCell ref="AD55:AE55"/>
    <mergeCell ref="AI55:AJ55"/>
    <mergeCell ref="AN55:AO55"/>
    <mergeCell ref="AS55:AT55"/>
    <mergeCell ref="AX55:AY55"/>
    <mergeCell ref="BC55:BD55"/>
    <mergeCell ref="BH55:BI5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92577-F960-4413-9E0F-F965D52D4EC0}">
  <sheetPr codeName="Sheet5">
    <tabColor theme="4" tint="0.59999389629810485"/>
  </sheetPr>
  <dimension ref="A1:FD20"/>
  <sheetViews>
    <sheetView zoomScaleNormal="100" workbookViewId="0">
      <selection activeCell="E6" sqref="E6"/>
    </sheetView>
  </sheetViews>
  <sheetFormatPr defaultColWidth="8.85546875" defaultRowHeight="15" x14ac:dyDescent="0.25"/>
  <cols>
    <col min="1" max="4" width="8.85546875" style="22"/>
    <col min="5" max="5" width="10.85546875" style="22" customWidth="1"/>
    <col min="6" max="6" width="10.85546875" style="32" customWidth="1"/>
    <col min="7" max="7" width="8.85546875" style="22"/>
    <col min="8" max="8" width="10.85546875" style="22" customWidth="1"/>
    <col min="9" max="9" width="10.85546875" style="32" customWidth="1"/>
    <col min="10" max="10" width="8.85546875" style="22"/>
    <col min="11" max="11" width="10.85546875" style="22" customWidth="1"/>
    <col min="12" max="12" width="10.85546875" style="32" customWidth="1"/>
    <col min="13" max="13" width="8.85546875" style="22"/>
    <col min="14" max="14" width="10.85546875" style="22" customWidth="1"/>
    <col min="15" max="15" width="10.85546875" style="32" customWidth="1"/>
    <col min="16" max="17" width="8.85546875" style="22"/>
    <col min="18" max="18" width="10.85546875" style="22" customWidth="1"/>
    <col min="19" max="19" width="10.85546875" style="32" customWidth="1"/>
    <col min="20" max="20" width="8.85546875" style="22"/>
    <col min="21" max="21" width="10.85546875" style="22" customWidth="1"/>
    <col min="22" max="22" width="10.85546875" style="32" customWidth="1"/>
    <col min="23" max="23" width="8.85546875" style="22"/>
    <col min="24" max="24" width="10.85546875" style="22" customWidth="1"/>
    <col min="25" max="25" width="10.85546875" style="32" customWidth="1"/>
    <col min="26" max="26" width="8.85546875" style="22"/>
    <col min="27" max="27" width="10.85546875" style="22" customWidth="1"/>
    <col min="28" max="28" width="10.85546875" style="32" customWidth="1"/>
    <col min="29" max="30" width="8.85546875" style="22"/>
    <col min="31" max="31" width="10.85546875" style="22" customWidth="1"/>
    <col min="32" max="32" width="10.85546875" style="32" customWidth="1"/>
    <col min="33" max="33" width="8.85546875" style="22"/>
    <col min="34" max="34" width="10.85546875" style="22" customWidth="1"/>
    <col min="35" max="35" width="10.85546875" style="32" customWidth="1"/>
    <col min="36" max="36" width="8.85546875" style="22"/>
    <col min="37" max="37" width="10.85546875" style="22" customWidth="1"/>
    <col min="38" max="38" width="10.85546875" style="32" customWidth="1"/>
    <col min="39" max="39" width="8.85546875" style="22"/>
    <col min="40" max="40" width="10.85546875" style="22" customWidth="1"/>
    <col min="41" max="41" width="10.85546875" style="32" customWidth="1"/>
    <col min="42" max="43" width="8.85546875" style="22"/>
    <col min="44" max="44" width="10.85546875" style="22" customWidth="1"/>
    <col min="45" max="45" width="10.85546875" style="32" customWidth="1"/>
    <col min="46" max="46" width="8.85546875" style="22"/>
    <col min="47" max="47" width="10.85546875" style="22" customWidth="1"/>
    <col min="48" max="48" width="10.85546875" style="32" customWidth="1"/>
    <col min="49" max="49" width="8.85546875" style="22"/>
    <col min="50" max="50" width="10.85546875" style="22" customWidth="1"/>
    <col min="51" max="51" width="10.85546875" style="32" customWidth="1"/>
    <col min="52" max="52" width="8.85546875" style="22"/>
    <col min="53" max="53" width="10.85546875" style="22" customWidth="1"/>
    <col min="54" max="54" width="10.85546875" style="32" customWidth="1"/>
    <col min="55" max="56" width="8.85546875" style="22"/>
    <col min="57" max="57" width="10.85546875" style="22" customWidth="1"/>
    <col min="58" max="58" width="10.85546875" style="32" customWidth="1"/>
    <col min="59" max="59" width="8.85546875" style="22"/>
    <col min="60" max="60" width="10.85546875" style="22" customWidth="1"/>
    <col min="61" max="61" width="10.85546875" style="32" customWidth="1"/>
    <col min="62" max="62" width="8.85546875" style="22"/>
    <col min="63" max="63" width="10.85546875" style="22" customWidth="1"/>
    <col min="64" max="64" width="10.85546875" style="32" customWidth="1"/>
    <col min="65" max="65" width="8.85546875" style="22"/>
    <col min="66" max="66" width="10.85546875" style="22" customWidth="1"/>
    <col min="67" max="67" width="10.85546875" style="32" customWidth="1"/>
    <col min="68" max="69" width="8.85546875" style="22"/>
    <col min="70" max="70" width="10.85546875" style="22" customWidth="1"/>
    <col min="71" max="71" width="10.85546875" style="32" customWidth="1"/>
    <col min="72" max="72" width="8.85546875" style="22"/>
    <col min="73" max="73" width="10.85546875" style="22" customWidth="1"/>
    <col min="74" max="74" width="10.85546875" style="32" customWidth="1"/>
    <col min="75" max="75" width="8.85546875" style="22"/>
    <col min="76" max="76" width="10.85546875" style="22" customWidth="1"/>
    <col min="77" max="77" width="10.85546875" style="32" customWidth="1"/>
    <col min="78" max="78" width="8.85546875" style="22"/>
    <col min="79" max="79" width="10.85546875" style="22" customWidth="1"/>
    <col min="80" max="80" width="10.85546875" style="32" customWidth="1"/>
    <col min="81" max="82" width="8.85546875" style="22"/>
    <col min="83" max="83" width="10.85546875" style="22" customWidth="1"/>
    <col min="84" max="84" width="10.85546875" style="32" customWidth="1"/>
    <col min="85" max="85" width="8.85546875" style="22"/>
    <col min="86" max="86" width="10.85546875" style="22" customWidth="1"/>
    <col min="87" max="87" width="10.85546875" style="32" customWidth="1"/>
    <col min="88" max="88" width="8.85546875" style="22"/>
    <col min="89" max="89" width="10.85546875" style="22" customWidth="1"/>
    <col min="90" max="90" width="10.85546875" style="32" customWidth="1"/>
    <col min="91" max="91" width="8.85546875" style="22"/>
    <col min="92" max="92" width="10.85546875" style="22" customWidth="1"/>
    <col min="93" max="93" width="10.85546875" style="32" customWidth="1"/>
    <col min="94" max="95" width="8.85546875" style="22"/>
    <col min="96" max="96" width="10.85546875" style="22" customWidth="1"/>
    <col min="97" max="97" width="10.85546875" style="32" customWidth="1"/>
    <col min="98" max="98" width="8.85546875" style="22"/>
    <col min="99" max="99" width="10.85546875" style="22" customWidth="1"/>
    <col min="100" max="100" width="10.85546875" style="32" customWidth="1"/>
    <col min="101" max="101" width="8.85546875" style="22"/>
    <col min="102" max="102" width="10.85546875" style="22" customWidth="1"/>
    <col min="103" max="103" width="10.85546875" style="32" customWidth="1"/>
    <col min="104" max="104" width="8.85546875" style="22"/>
    <col min="105" max="105" width="10.85546875" style="22" customWidth="1"/>
    <col min="106" max="106" width="10.85546875" style="32" customWidth="1"/>
    <col min="107" max="108" width="8.85546875" style="22"/>
    <col min="109" max="109" width="10.85546875" style="22" customWidth="1"/>
    <col min="110" max="110" width="10.85546875" style="32" customWidth="1"/>
    <col min="111" max="111" width="8.85546875" style="22"/>
    <col min="112" max="112" width="10.85546875" style="22" customWidth="1"/>
    <col min="113" max="113" width="10.85546875" style="32" customWidth="1"/>
    <col min="114" max="114" width="8.85546875" style="22"/>
    <col min="115" max="115" width="10.85546875" style="22" customWidth="1"/>
    <col min="116" max="116" width="10.85546875" style="32" customWidth="1"/>
    <col min="117" max="117" width="8.85546875" style="22"/>
    <col min="118" max="118" width="10.85546875" style="22" customWidth="1"/>
    <col min="119" max="119" width="10.85546875" style="32" customWidth="1"/>
    <col min="120" max="121" width="8.85546875" style="22"/>
    <col min="122" max="122" width="10.85546875" style="22" customWidth="1"/>
    <col min="123" max="123" width="10.85546875" style="32" customWidth="1"/>
    <col min="124" max="124" width="8.85546875" style="22"/>
    <col min="125" max="125" width="10.85546875" style="22" customWidth="1"/>
    <col min="126" max="126" width="10.85546875" style="32" customWidth="1"/>
    <col min="127" max="127" width="8.85546875" style="22"/>
    <col min="128" max="128" width="10.85546875" style="22" customWidth="1"/>
    <col min="129" max="129" width="10.85546875" style="32" customWidth="1"/>
    <col min="130" max="130" width="8.85546875" style="22"/>
    <col min="131" max="131" width="10.85546875" style="22" customWidth="1"/>
    <col min="132" max="132" width="10.85546875" style="32" customWidth="1"/>
    <col min="133" max="134" width="8.85546875" style="22"/>
    <col min="135" max="135" width="10.85546875" style="22" customWidth="1"/>
    <col min="136" max="136" width="10.85546875" style="32" customWidth="1"/>
    <col min="137" max="137" width="8.85546875" style="22"/>
    <col min="138" max="138" width="10.85546875" style="22" customWidth="1"/>
    <col min="139" max="139" width="10.85546875" style="32" customWidth="1"/>
    <col min="140" max="140" width="8.85546875" style="22"/>
    <col min="141" max="141" width="10.85546875" style="22" customWidth="1"/>
    <col min="142" max="142" width="10.85546875" style="32" customWidth="1"/>
    <col min="143" max="143" width="8.85546875" style="22"/>
    <col min="144" max="144" width="10.85546875" style="22" customWidth="1"/>
    <col min="145" max="145" width="10.85546875" style="32" customWidth="1"/>
    <col min="146" max="147" width="8.85546875" style="22"/>
    <col min="148" max="148" width="10.85546875" style="22" customWidth="1"/>
    <col min="149" max="149" width="10.85546875" style="32" customWidth="1"/>
    <col min="150" max="150" width="8.85546875" style="22"/>
    <col min="151" max="151" width="10.85546875" style="22" customWidth="1"/>
    <col min="152" max="152" width="10.85546875" style="32" customWidth="1"/>
    <col min="153" max="153" width="8.85546875" style="22"/>
    <col min="154" max="154" width="10.85546875" style="22" customWidth="1"/>
    <col min="155" max="155" width="10.85546875" style="32" customWidth="1"/>
    <col min="156" max="156" width="8.85546875" style="22"/>
    <col min="157" max="157" width="10.85546875" style="22" customWidth="1"/>
    <col min="158" max="158" width="10.85546875" style="32" customWidth="1"/>
    <col min="159" max="16384" width="8.85546875" style="22"/>
  </cols>
  <sheetData>
    <row r="1" spans="1:160" ht="15.75" thickBot="1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25"/>
      <c r="EC1" s="25"/>
      <c r="ED1" s="25"/>
      <c r="EE1" s="25"/>
      <c r="EF1" s="25"/>
      <c r="EG1" s="25"/>
      <c r="EH1" s="25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25"/>
      <c r="EW1" s="25"/>
      <c r="EX1" s="25"/>
      <c r="EY1" s="25"/>
      <c r="EZ1" s="25"/>
      <c r="FA1" s="25"/>
      <c r="FB1" s="25"/>
    </row>
    <row r="2" spans="1:160" ht="24" thickBot="1" x14ac:dyDescent="0.4">
      <c r="A2" s="31"/>
      <c r="B2" s="200" t="s">
        <v>20</v>
      </c>
      <c r="C2" s="201"/>
      <c r="D2" s="110"/>
      <c r="E2" s="197" t="s">
        <v>95</v>
      </c>
      <c r="F2" s="198"/>
      <c r="G2" s="198"/>
      <c r="H2" s="198"/>
      <c r="I2" s="198"/>
      <c r="J2" s="198"/>
      <c r="K2" s="198"/>
      <c r="L2" s="198"/>
      <c r="M2" s="198"/>
      <c r="N2" s="198"/>
      <c r="O2" s="199"/>
      <c r="P2" s="111"/>
      <c r="Q2" s="111"/>
      <c r="R2" s="197" t="s">
        <v>96</v>
      </c>
      <c r="S2" s="198"/>
      <c r="T2" s="198"/>
      <c r="U2" s="198"/>
      <c r="V2" s="198"/>
      <c r="W2" s="198"/>
      <c r="X2" s="198"/>
      <c r="Y2" s="198"/>
      <c r="Z2" s="198"/>
      <c r="AA2" s="198"/>
      <c r="AB2" s="199"/>
      <c r="AC2" s="111"/>
      <c r="AD2" s="111"/>
      <c r="AE2" s="197" t="s">
        <v>97</v>
      </c>
      <c r="AF2" s="198"/>
      <c r="AG2" s="198"/>
      <c r="AH2" s="198"/>
      <c r="AI2" s="198"/>
      <c r="AJ2" s="198"/>
      <c r="AK2" s="198"/>
      <c r="AL2" s="198"/>
      <c r="AM2" s="198"/>
      <c r="AN2" s="198"/>
      <c r="AO2" s="199"/>
      <c r="AP2" s="111"/>
      <c r="AQ2" s="111"/>
      <c r="AR2" s="197" t="s">
        <v>98</v>
      </c>
      <c r="AS2" s="198"/>
      <c r="AT2" s="198"/>
      <c r="AU2" s="198"/>
      <c r="AV2" s="198"/>
      <c r="AW2" s="198"/>
      <c r="AX2" s="198"/>
      <c r="AY2" s="198"/>
      <c r="AZ2" s="198"/>
      <c r="BA2" s="198"/>
      <c r="BB2" s="199"/>
      <c r="BC2" s="111"/>
      <c r="BD2" s="111"/>
      <c r="BE2" s="197" t="s">
        <v>99</v>
      </c>
      <c r="BF2" s="198"/>
      <c r="BG2" s="198"/>
      <c r="BH2" s="198"/>
      <c r="BI2" s="198"/>
      <c r="BJ2" s="198"/>
      <c r="BK2" s="198"/>
      <c r="BL2" s="198"/>
      <c r="BM2" s="198"/>
      <c r="BN2" s="198"/>
      <c r="BO2" s="199"/>
      <c r="BP2" s="111"/>
      <c r="BQ2" s="111"/>
      <c r="BR2" s="197" t="s">
        <v>100</v>
      </c>
      <c r="BS2" s="198"/>
      <c r="BT2" s="198"/>
      <c r="BU2" s="198"/>
      <c r="BV2" s="198"/>
      <c r="BW2" s="198"/>
      <c r="BX2" s="198"/>
      <c r="BY2" s="198"/>
      <c r="BZ2" s="198"/>
      <c r="CA2" s="198"/>
      <c r="CB2" s="199"/>
      <c r="CC2" s="111"/>
      <c r="CD2" s="111"/>
      <c r="CE2" s="197" t="s">
        <v>101</v>
      </c>
      <c r="CF2" s="198"/>
      <c r="CG2" s="198"/>
      <c r="CH2" s="198"/>
      <c r="CI2" s="198"/>
      <c r="CJ2" s="198"/>
      <c r="CK2" s="198"/>
      <c r="CL2" s="198"/>
      <c r="CM2" s="198"/>
      <c r="CN2" s="198"/>
      <c r="CO2" s="199"/>
      <c r="CP2" s="111"/>
      <c r="CQ2" s="111"/>
      <c r="CR2" s="197" t="s">
        <v>102</v>
      </c>
      <c r="CS2" s="198"/>
      <c r="CT2" s="198"/>
      <c r="CU2" s="198"/>
      <c r="CV2" s="198"/>
      <c r="CW2" s="198"/>
      <c r="CX2" s="198"/>
      <c r="CY2" s="198"/>
      <c r="CZ2" s="198"/>
      <c r="DA2" s="198"/>
      <c r="DB2" s="199"/>
      <c r="DC2" s="111"/>
      <c r="DD2" s="111"/>
      <c r="DE2" s="197" t="s">
        <v>22</v>
      </c>
      <c r="DF2" s="198"/>
      <c r="DG2" s="198"/>
      <c r="DH2" s="198"/>
      <c r="DI2" s="198"/>
      <c r="DJ2" s="198"/>
      <c r="DK2" s="198"/>
      <c r="DL2" s="198"/>
      <c r="DM2" s="198"/>
      <c r="DN2" s="198"/>
      <c r="DO2" s="199"/>
      <c r="DP2" s="111"/>
      <c r="DQ2" s="111"/>
      <c r="DR2" s="197" t="s">
        <v>0</v>
      </c>
      <c r="DS2" s="198"/>
      <c r="DT2" s="198"/>
      <c r="DU2" s="198"/>
      <c r="DV2" s="198"/>
      <c r="DW2" s="198"/>
      <c r="DX2" s="198"/>
      <c r="DY2" s="198"/>
      <c r="DZ2" s="198"/>
      <c r="EA2" s="198"/>
      <c r="EB2" s="199"/>
      <c r="EC2" s="111"/>
      <c r="ED2" s="111"/>
      <c r="EE2" s="197" t="s">
        <v>2</v>
      </c>
      <c r="EF2" s="198"/>
      <c r="EG2" s="198"/>
      <c r="EH2" s="198"/>
      <c r="EI2" s="198"/>
      <c r="EJ2" s="198"/>
      <c r="EK2" s="198"/>
      <c r="EL2" s="198"/>
      <c r="EM2" s="198"/>
      <c r="EN2" s="198"/>
      <c r="EO2" s="199"/>
      <c r="EP2" s="111"/>
      <c r="EQ2" s="111"/>
      <c r="ER2" s="197" t="s">
        <v>34</v>
      </c>
      <c r="ES2" s="198"/>
      <c r="ET2" s="198"/>
      <c r="EU2" s="198"/>
      <c r="EV2" s="198"/>
      <c r="EW2" s="198"/>
      <c r="EX2" s="198"/>
      <c r="EY2" s="198"/>
      <c r="EZ2" s="198"/>
      <c r="FA2" s="198"/>
      <c r="FB2" s="199"/>
      <c r="FC2" s="77"/>
      <c r="FD2" s="27"/>
    </row>
    <row r="3" spans="1:160" x14ac:dyDescent="0.25">
      <c r="A3" s="25"/>
      <c r="B3" s="101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78"/>
    </row>
    <row r="4" spans="1:160" ht="21.75" thickBot="1" x14ac:dyDescent="0.4">
      <c r="A4" s="25"/>
      <c r="B4" s="30" t="s">
        <v>6</v>
      </c>
      <c r="C4" s="20"/>
      <c r="D4" s="20"/>
      <c r="E4" s="23"/>
      <c r="F4" s="23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3"/>
      <c r="S4" s="23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3"/>
      <c r="AF4" s="23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3"/>
      <c r="AS4" s="23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3"/>
      <c r="BF4" s="23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3"/>
      <c r="BS4" s="23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3"/>
      <c r="CF4" s="23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3"/>
      <c r="CS4" s="23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3"/>
      <c r="DF4" s="23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3"/>
      <c r="DS4" s="23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3"/>
      <c r="EF4" s="23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3"/>
      <c r="ES4" s="23"/>
      <c r="ET4" s="21"/>
      <c r="EU4" s="21"/>
      <c r="EV4" s="21"/>
      <c r="EW4" s="21"/>
      <c r="EX4" s="21"/>
      <c r="EY4" s="21"/>
      <c r="EZ4" s="21"/>
      <c r="FA4" s="21"/>
      <c r="FB4" s="21"/>
      <c r="FC4" s="45"/>
    </row>
    <row r="5" spans="1:160" ht="16.5" thickTop="1" thickBot="1" x14ac:dyDescent="0.3">
      <c r="A5" s="25"/>
      <c r="B5" s="101"/>
      <c r="C5" s="102"/>
      <c r="D5" s="102"/>
      <c r="E5" s="24" t="s">
        <v>9</v>
      </c>
      <c r="F5" s="24" t="s">
        <v>8</v>
      </c>
      <c r="G5" s="108"/>
      <c r="H5" s="24" t="s">
        <v>9</v>
      </c>
      <c r="I5" s="24" t="s">
        <v>8</v>
      </c>
      <c r="J5" s="108"/>
      <c r="K5" s="24" t="s">
        <v>9</v>
      </c>
      <c r="L5" s="24" t="s">
        <v>8</v>
      </c>
      <c r="M5" s="108"/>
      <c r="N5" s="24" t="s">
        <v>9</v>
      </c>
      <c r="O5" s="24" t="s">
        <v>8</v>
      </c>
      <c r="P5" s="105"/>
      <c r="Q5" s="102"/>
      <c r="R5" s="24" t="s">
        <v>9</v>
      </c>
      <c r="S5" s="24" t="s">
        <v>8</v>
      </c>
      <c r="T5" s="108"/>
      <c r="U5" s="24" t="s">
        <v>9</v>
      </c>
      <c r="V5" s="24" t="s">
        <v>8</v>
      </c>
      <c r="W5" s="108"/>
      <c r="X5" s="24" t="s">
        <v>9</v>
      </c>
      <c r="Y5" s="24" t="s">
        <v>8</v>
      </c>
      <c r="Z5" s="108"/>
      <c r="AA5" s="24" t="s">
        <v>9</v>
      </c>
      <c r="AB5" s="24" t="s">
        <v>8</v>
      </c>
      <c r="AC5" s="105"/>
      <c r="AD5" s="102"/>
      <c r="AE5" s="24" t="s">
        <v>9</v>
      </c>
      <c r="AF5" s="24" t="s">
        <v>8</v>
      </c>
      <c r="AG5" s="108"/>
      <c r="AH5" s="24" t="s">
        <v>9</v>
      </c>
      <c r="AI5" s="24" t="s">
        <v>8</v>
      </c>
      <c r="AJ5" s="108"/>
      <c r="AK5" s="24" t="s">
        <v>9</v>
      </c>
      <c r="AL5" s="24" t="s">
        <v>8</v>
      </c>
      <c r="AM5" s="108"/>
      <c r="AN5" s="24" t="s">
        <v>9</v>
      </c>
      <c r="AO5" s="24" t="s">
        <v>8</v>
      </c>
      <c r="AP5" s="105"/>
      <c r="AQ5" s="102"/>
      <c r="AR5" s="24" t="s">
        <v>9</v>
      </c>
      <c r="AS5" s="24" t="s">
        <v>8</v>
      </c>
      <c r="AT5" s="108"/>
      <c r="AU5" s="24" t="s">
        <v>9</v>
      </c>
      <c r="AV5" s="24" t="s">
        <v>8</v>
      </c>
      <c r="AW5" s="108"/>
      <c r="AX5" s="24" t="s">
        <v>9</v>
      </c>
      <c r="AY5" s="24" t="s">
        <v>8</v>
      </c>
      <c r="AZ5" s="108"/>
      <c r="BA5" s="24" t="s">
        <v>9</v>
      </c>
      <c r="BB5" s="24" t="s">
        <v>8</v>
      </c>
      <c r="BC5" s="105"/>
      <c r="BD5" s="102"/>
      <c r="BE5" s="24" t="s">
        <v>9</v>
      </c>
      <c r="BF5" s="24" t="s">
        <v>8</v>
      </c>
      <c r="BG5" s="108"/>
      <c r="BH5" s="24" t="s">
        <v>9</v>
      </c>
      <c r="BI5" s="24" t="s">
        <v>8</v>
      </c>
      <c r="BJ5" s="108"/>
      <c r="BK5" s="24" t="s">
        <v>9</v>
      </c>
      <c r="BL5" s="24" t="s">
        <v>8</v>
      </c>
      <c r="BM5" s="108"/>
      <c r="BN5" s="24" t="s">
        <v>9</v>
      </c>
      <c r="BO5" s="24" t="s">
        <v>8</v>
      </c>
      <c r="BP5" s="105"/>
      <c r="BQ5" s="102"/>
      <c r="BR5" s="24" t="s">
        <v>9</v>
      </c>
      <c r="BS5" s="24" t="s">
        <v>8</v>
      </c>
      <c r="BT5" s="108"/>
      <c r="BU5" s="24" t="s">
        <v>9</v>
      </c>
      <c r="BV5" s="24" t="s">
        <v>8</v>
      </c>
      <c r="BW5" s="108"/>
      <c r="BX5" s="24" t="s">
        <v>9</v>
      </c>
      <c r="BY5" s="24" t="s">
        <v>8</v>
      </c>
      <c r="BZ5" s="108"/>
      <c r="CA5" s="24" t="s">
        <v>9</v>
      </c>
      <c r="CB5" s="24" t="s">
        <v>8</v>
      </c>
      <c r="CC5" s="105"/>
      <c r="CD5" s="102"/>
      <c r="CE5" s="24" t="s">
        <v>9</v>
      </c>
      <c r="CF5" s="24" t="s">
        <v>8</v>
      </c>
      <c r="CG5" s="108"/>
      <c r="CH5" s="24" t="s">
        <v>9</v>
      </c>
      <c r="CI5" s="24" t="s">
        <v>8</v>
      </c>
      <c r="CJ5" s="108"/>
      <c r="CK5" s="24" t="s">
        <v>9</v>
      </c>
      <c r="CL5" s="24" t="s">
        <v>8</v>
      </c>
      <c r="CM5" s="108"/>
      <c r="CN5" s="24" t="s">
        <v>9</v>
      </c>
      <c r="CO5" s="24" t="s">
        <v>8</v>
      </c>
      <c r="CP5" s="105"/>
      <c r="CQ5" s="102"/>
      <c r="CR5" s="24" t="s">
        <v>9</v>
      </c>
      <c r="CS5" s="24" t="s">
        <v>8</v>
      </c>
      <c r="CT5" s="108"/>
      <c r="CU5" s="24" t="s">
        <v>9</v>
      </c>
      <c r="CV5" s="24" t="s">
        <v>8</v>
      </c>
      <c r="CW5" s="108"/>
      <c r="CX5" s="24" t="s">
        <v>9</v>
      </c>
      <c r="CY5" s="24" t="s">
        <v>8</v>
      </c>
      <c r="CZ5" s="108"/>
      <c r="DA5" s="24" t="s">
        <v>9</v>
      </c>
      <c r="DB5" s="24" t="s">
        <v>8</v>
      </c>
      <c r="DC5" s="105"/>
      <c r="DD5" s="102"/>
      <c r="DE5" s="24" t="s">
        <v>9</v>
      </c>
      <c r="DF5" s="24" t="s">
        <v>8</v>
      </c>
      <c r="DG5" s="108"/>
      <c r="DH5" s="24" t="s">
        <v>9</v>
      </c>
      <c r="DI5" s="24" t="s">
        <v>8</v>
      </c>
      <c r="DJ5" s="108"/>
      <c r="DK5" s="24" t="s">
        <v>9</v>
      </c>
      <c r="DL5" s="24" t="s">
        <v>8</v>
      </c>
      <c r="DM5" s="108"/>
      <c r="DN5" s="24" t="s">
        <v>9</v>
      </c>
      <c r="DO5" s="24" t="s">
        <v>8</v>
      </c>
      <c r="DP5" s="105"/>
      <c r="DQ5" s="102"/>
      <c r="DR5" s="24" t="s">
        <v>9</v>
      </c>
      <c r="DS5" s="24" t="s">
        <v>8</v>
      </c>
      <c r="DT5" s="108"/>
      <c r="DU5" s="24" t="s">
        <v>9</v>
      </c>
      <c r="DV5" s="24" t="s">
        <v>8</v>
      </c>
      <c r="DW5" s="108"/>
      <c r="DX5" s="24" t="s">
        <v>9</v>
      </c>
      <c r="DY5" s="24" t="s">
        <v>8</v>
      </c>
      <c r="DZ5" s="108"/>
      <c r="EA5" s="24" t="s">
        <v>9</v>
      </c>
      <c r="EB5" s="24" t="s">
        <v>8</v>
      </c>
      <c r="EC5" s="105"/>
      <c r="ED5" s="102"/>
      <c r="EE5" s="24" t="s">
        <v>9</v>
      </c>
      <c r="EF5" s="24" t="s">
        <v>8</v>
      </c>
      <c r="EG5" s="108"/>
      <c r="EH5" s="24" t="s">
        <v>9</v>
      </c>
      <c r="EI5" s="24" t="s">
        <v>8</v>
      </c>
      <c r="EJ5" s="108"/>
      <c r="EK5" s="24" t="s">
        <v>9</v>
      </c>
      <c r="EL5" s="24" t="s">
        <v>8</v>
      </c>
      <c r="EM5" s="108"/>
      <c r="EN5" s="24" t="s">
        <v>9</v>
      </c>
      <c r="EO5" s="24" t="s">
        <v>8</v>
      </c>
      <c r="EP5" s="105"/>
      <c r="EQ5" s="102"/>
      <c r="ER5" s="24" t="s">
        <v>9</v>
      </c>
      <c r="ES5" s="24" t="s">
        <v>8</v>
      </c>
      <c r="ET5" s="108"/>
      <c r="EU5" s="24" t="s">
        <v>9</v>
      </c>
      <c r="EV5" s="24" t="s">
        <v>8</v>
      </c>
      <c r="EW5" s="108"/>
      <c r="EX5" s="24" t="s">
        <v>9</v>
      </c>
      <c r="EY5" s="24" t="s">
        <v>8</v>
      </c>
      <c r="EZ5" s="108"/>
      <c r="FA5" s="24" t="s">
        <v>9</v>
      </c>
      <c r="FB5" s="24" t="s">
        <v>8</v>
      </c>
      <c r="FC5" s="112"/>
    </row>
    <row r="6" spans="1:160" x14ac:dyDescent="0.25">
      <c r="B6" s="103"/>
      <c r="C6" s="69"/>
      <c r="D6" s="69"/>
      <c r="E6" s="59">
        <v>43462</v>
      </c>
      <c r="F6" s="60">
        <v>9</v>
      </c>
      <c r="G6" s="109"/>
      <c r="H6" s="59"/>
      <c r="I6" s="60"/>
      <c r="J6" s="109"/>
      <c r="K6" s="59"/>
      <c r="L6" s="60"/>
      <c r="M6" s="109"/>
      <c r="N6" s="59"/>
      <c r="O6" s="60"/>
      <c r="P6" s="106"/>
      <c r="Q6" s="69"/>
      <c r="R6" s="59"/>
      <c r="S6" s="60"/>
      <c r="T6" s="109"/>
      <c r="U6" s="59"/>
      <c r="V6" s="60"/>
      <c r="W6" s="109"/>
      <c r="X6" s="59"/>
      <c r="Y6" s="60"/>
      <c r="Z6" s="109"/>
      <c r="AA6" s="59"/>
      <c r="AB6" s="60"/>
      <c r="AC6" s="106"/>
      <c r="AD6" s="69"/>
      <c r="AE6" s="59"/>
      <c r="AF6" s="60"/>
      <c r="AG6" s="109"/>
      <c r="AH6" s="59"/>
      <c r="AI6" s="60"/>
      <c r="AJ6" s="109"/>
      <c r="AK6" s="59"/>
      <c r="AL6" s="60"/>
      <c r="AM6" s="109"/>
      <c r="AN6" s="59"/>
      <c r="AO6" s="60"/>
      <c r="AP6" s="106"/>
      <c r="AQ6" s="69"/>
      <c r="AR6" s="59"/>
      <c r="AS6" s="60"/>
      <c r="AT6" s="109"/>
      <c r="AU6" s="59"/>
      <c r="AV6" s="60"/>
      <c r="AW6" s="109"/>
      <c r="AX6" s="59"/>
      <c r="AY6" s="60"/>
      <c r="AZ6" s="109"/>
      <c r="BA6" s="59"/>
      <c r="BB6" s="60"/>
      <c r="BC6" s="106"/>
      <c r="BD6" s="69"/>
      <c r="BE6" s="59"/>
      <c r="BF6" s="60"/>
      <c r="BG6" s="109"/>
      <c r="BH6" s="59"/>
      <c r="BI6" s="60"/>
      <c r="BJ6" s="109"/>
      <c r="BK6" s="59"/>
      <c r="BL6" s="60"/>
      <c r="BM6" s="109"/>
      <c r="BN6" s="59"/>
      <c r="BO6" s="60"/>
      <c r="BP6" s="106"/>
      <c r="BQ6" s="69"/>
      <c r="BR6" s="59"/>
      <c r="BS6" s="60"/>
      <c r="BT6" s="109"/>
      <c r="BU6" s="59"/>
      <c r="BV6" s="60"/>
      <c r="BW6" s="109"/>
      <c r="BX6" s="59"/>
      <c r="BY6" s="60"/>
      <c r="BZ6" s="109"/>
      <c r="CA6" s="59"/>
      <c r="CB6" s="60"/>
      <c r="CC6" s="106"/>
      <c r="CD6" s="69"/>
      <c r="CE6" s="59"/>
      <c r="CF6" s="60"/>
      <c r="CG6" s="109"/>
      <c r="CH6" s="59"/>
      <c r="CI6" s="60"/>
      <c r="CJ6" s="109"/>
      <c r="CK6" s="59"/>
      <c r="CL6" s="60"/>
      <c r="CM6" s="109"/>
      <c r="CN6" s="59"/>
      <c r="CO6" s="60"/>
      <c r="CP6" s="106"/>
      <c r="CQ6" s="69"/>
      <c r="CR6" s="59"/>
      <c r="CS6" s="60"/>
      <c r="CT6" s="109"/>
      <c r="CU6" s="59"/>
      <c r="CV6" s="60"/>
      <c r="CW6" s="109"/>
      <c r="CX6" s="59"/>
      <c r="CY6" s="60"/>
      <c r="CZ6" s="109"/>
      <c r="DA6" s="59"/>
      <c r="DB6" s="60"/>
      <c r="DC6" s="106"/>
      <c r="DD6" s="69"/>
      <c r="DE6" s="59"/>
      <c r="DF6" s="60"/>
      <c r="DG6" s="109"/>
      <c r="DH6" s="59"/>
      <c r="DI6" s="60"/>
      <c r="DJ6" s="109"/>
      <c r="DK6" s="59"/>
      <c r="DL6" s="60"/>
      <c r="DM6" s="109"/>
      <c r="DN6" s="59"/>
      <c r="DO6" s="60"/>
      <c r="DP6" s="106"/>
      <c r="DQ6" s="69"/>
      <c r="DR6" s="59"/>
      <c r="DS6" s="60"/>
      <c r="DT6" s="109"/>
      <c r="DU6" s="59"/>
      <c r="DV6" s="60"/>
      <c r="DW6" s="109"/>
      <c r="DX6" s="59"/>
      <c r="DY6" s="60"/>
      <c r="DZ6" s="109"/>
      <c r="EA6" s="59"/>
      <c r="EB6" s="60"/>
      <c r="EC6" s="106"/>
      <c r="ED6" s="69"/>
      <c r="EE6" s="59"/>
      <c r="EF6" s="60"/>
      <c r="EG6" s="109"/>
      <c r="EH6" s="59"/>
      <c r="EI6" s="60"/>
      <c r="EJ6" s="109"/>
      <c r="EK6" s="59"/>
      <c r="EL6" s="60"/>
      <c r="EM6" s="109"/>
      <c r="EN6" s="59"/>
      <c r="EO6" s="60"/>
      <c r="EP6" s="106"/>
      <c r="EQ6" s="69"/>
      <c r="ER6" s="59"/>
      <c r="ES6" s="60"/>
      <c r="ET6" s="109"/>
      <c r="EU6" s="59"/>
      <c r="EV6" s="60"/>
      <c r="EW6" s="109"/>
      <c r="EX6" s="59"/>
      <c r="EY6" s="60"/>
      <c r="EZ6" s="109"/>
      <c r="FA6" s="59"/>
      <c r="FB6" s="60"/>
      <c r="FC6" s="113"/>
    </row>
    <row r="7" spans="1:160" x14ac:dyDescent="0.25">
      <c r="B7" s="71"/>
      <c r="C7" s="69"/>
      <c r="D7" s="69"/>
      <c r="E7" s="61">
        <v>43470</v>
      </c>
      <c r="F7" s="62">
        <v>10</v>
      </c>
      <c r="G7" s="109"/>
      <c r="H7" s="61"/>
      <c r="I7" s="62"/>
      <c r="J7" s="109"/>
      <c r="K7" s="61"/>
      <c r="L7" s="62"/>
      <c r="M7" s="109"/>
      <c r="N7" s="61"/>
      <c r="O7" s="62"/>
      <c r="P7" s="106"/>
      <c r="Q7" s="69"/>
      <c r="R7" s="61"/>
      <c r="S7" s="62"/>
      <c r="T7" s="109"/>
      <c r="U7" s="61"/>
      <c r="V7" s="62"/>
      <c r="W7" s="109"/>
      <c r="X7" s="61"/>
      <c r="Y7" s="62"/>
      <c r="Z7" s="109"/>
      <c r="AA7" s="61"/>
      <c r="AB7" s="62"/>
      <c r="AC7" s="106"/>
      <c r="AD7" s="69"/>
      <c r="AE7" s="61"/>
      <c r="AF7" s="62"/>
      <c r="AG7" s="109"/>
      <c r="AH7" s="61"/>
      <c r="AI7" s="62"/>
      <c r="AJ7" s="109"/>
      <c r="AK7" s="61"/>
      <c r="AL7" s="62"/>
      <c r="AM7" s="109"/>
      <c r="AN7" s="61"/>
      <c r="AO7" s="62"/>
      <c r="AP7" s="106"/>
      <c r="AQ7" s="69"/>
      <c r="AR7" s="61"/>
      <c r="AS7" s="62"/>
      <c r="AT7" s="109"/>
      <c r="AU7" s="61"/>
      <c r="AV7" s="62"/>
      <c r="AW7" s="109"/>
      <c r="AX7" s="61"/>
      <c r="AY7" s="62"/>
      <c r="AZ7" s="109"/>
      <c r="BA7" s="61"/>
      <c r="BB7" s="62"/>
      <c r="BC7" s="106"/>
      <c r="BD7" s="69"/>
      <c r="BE7" s="61"/>
      <c r="BF7" s="62"/>
      <c r="BG7" s="109"/>
      <c r="BH7" s="61"/>
      <c r="BI7" s="62"/>
      <c r="BJ7" s="109"/>
      <c r="BK7" s="61"/>
      <c r="BL7" s="62"/>
      <c r="BM7" s="109"/>
      <c r="BN7" s="61"/>
      <c r="BO7" s="62"/>
      <c r="BP7" s="106"/>
      <c r="BQ7" s="69"/>
      <c r="BR7" s="61"/>
      <c r="BS7" s="62"/>
      <c r="BT7" s="109"/>
      <c r="BU7" s="61"/>
      <c r="BV7" s="62"/>
      <c r="BW7" s="109"/>
      <c r="BX7" s="61"/>
      <c r="BY7" s="62"/>
      <c r="BZ7" s="109"/>
      <c r="CA7" s="61"/>
      <c r="CB7" s="62"/>
      <c r="CC7" s="106"/>
      <c r="CD7" s="69"/>
      <c r="CE7" s="61"/>
      <c r="CF7" s="62"/>
      <c r="CG7" s="109"/>
      <c r="CH7" s="61"/>
      <c r="CI7" s="62"/>
      <c r="CJ7" s="109"/>
      <c r="CK7" s="61"/>
      <c r="CL7" s="62"/>
      <c r="CM7" s="109"/>
      <c r="CN7" s="61"/>
      <c r="CO7" s="62"/>
      <c r="CP7" s="106"/>
      <c r="CQ7" s="69"/>
      <c r="CR7" s="61"/>
      <c r="CS7" s="62"/>
      <c r="CT7" s="109"/>
      <c r="CU7" s="61"/>
      <c r="CV7" s="62"/>
      <c r="CW7" s="109"/>
      <c r="CX7" s="61"/>
      <c r="CY7" s="62"/>
      <c r="CZ7" s="109"/>
      <c r="DA7" s="61"/>
      <c r="DB7" s="62"/>
      <c r="DC7" s="106"/>
      <c r="DD7" s="69"/>
      <c r="DE7" s="61"/>
      <c r="DF7" s="62"/>
      <c r="DG7" s="109"/>
      <c r="DH7" s="61"/>
      <c r="DI7" s="62"/>
      <c r="DJ7" s="109"/>
      <c r="DK7" s="61"/>
      <c r="DL7" s="62"/>
      <c r="DM7" s="109"/>
      <c r="DN7" s="61"/>
      <c r="DO7" s="62"/>
      <c r="DP7" s="106"/>
      <c r="DQ7" s="69"/>
      <c r="DR7" s="61"/>
      <c r="DS7" s="62"/>
      <c r="DT7" s="109"/>
      <c r="DU7" s="61"/>
      <c r="DV7" s="62"/>
      <c r="DW7" s="109"/>
      <c r="DX7" s="61"/>
      <c r="DY7" s="62"/>
      <c r="DZ7" s="109"/>
      <c r="EA7" s="61"/>
      <c r="EB7" s="62"/>
      <c r="EC7" s="106"/>
      <c r="ED7" s="69"/>
      <c r="EE7" s="61"/>
      <c r="EF7" s="62"/>
      <c r="EG7" s="109"/>
      <c r="EH7" s="61"/>
      <c r="EI7" s="62"/>
      <c r="EJ7" s="109"/>
      <c r="EK7" s="61"/>
      <c r="EL7" s="62"/>
      <c r="EM7" s="109"/>
      <c r="EN7" s="61"/>
      <c r="EO7" s="62"/>
      <c r="EP7" s="106"/>
      <c r="EQ7" s="69"/>
      <c r="ER7" s="61"/>
      <c r="ES7" s="62"/>
      <c r="ET7" s="109"/>
      <c r="EU7" s="61"/>
      <c r="EV7" s="62"/>
      <c r="EW7" s="109"/>
      <c r="EX7" s="61"/>
      <c r="EY7" s="62"/>
      <c r="EZ7" s="109"/>
      <c r="FA7" s="61"/>
      <c r="FB7" s="62"/>
      <c r="FC7" s="113"/>
    </row>
    <row r="8" spans="1:160" x14ac:dyDescent="0.25">
      <c r="B8" s="71"/>
      <c r="C8" s="69"/>
      <c r="D8" s="69"/>
      <c r="E8" s="61"/>
      <c r="F8" s="63"/>
      <c r="G8" s="109"/>
      <c r="H8" s="61"/>
      <c r="I8" s="63"/>
      <c r="J8" s="109"/>
      <c r="K8" s="61"/>
      <c r="L8" s="63"/>
      <c r="M8" s="109"/>
      <c r="N8" s="61"/>
      <c r="O8" s="63"/>
      <c r="P8" s="106"/>
      <c r="Q8" s="69"/>
      <c r="R8" s="61"/>
      <c r="S8" s="63"/>
      <c r="T8" s="109"/>
      <c r="U8" s="61"/>
      <c r="V8" s="63"/>
      <c r="W8" s="109"/>
      <c r="X8" s="61"/>
      <c r="Y8" s="63"/>
      <c r="Z8" s="109"/>
      <c r="AA8" s="61"/>
      <c r="AB8" s="63"/>
      <c r="AC8" s="106"/>
      <c r="AD8" s="69"/>
      <c r="AE8" s="61"/>
      <c r="AF8" s="63"/>
      <c r="AG8" s="109"/>
      <c r="AH8" s="61"/>
      <c r="AI8" s="63"/>
      <c r="AJ8" s="109"/>
      <c r="AK8" s="61"/>
      <c r="AL8" s="63"/>
      <c r="AM8" s="109"/>
      <c r="AN8" s="61"/>
      <c r="AO8" s="63"/>
      <c r="AP8" s="106"/>
      <c r="AQ8" s="69"/>
      <c r="AR8" s="61"/>
      <c r="AS8" s="63"/>
      <c r="AT8" s="109"/>
      <c r="AU8" s="61"/>
      <c r="AV8" s="63"/>
      <c r="AW8" s="109"/>
      <c r="AX8" s="61"/>
      <c r="AY8" s="63"/>
      <c r="AZ8" s="109"/>
      <c r="BA8" s="61"/>
      <c r="BB8" s="63"/>
      <c r="BC8" s="106"/>
      <c r="BD8" s="69"/>
      <c r="BE8" s="61"/>
      <c r="BF8" s="63"/>
      <c r="BG8" s="109"/>
      <c r="BH8" s="61"/>
      <c r="BI8" s="63"/>
      <c r="BJ8" s="109"/>
      <c r="BK8" s="61"/>
      <c r="BL8" s="63"/>
      <c r="BM8" s="109"/>
      <c r="BN8" s="61"/>
      <c r="BO8" s="63"/>
      <c r="BP8" s="106"/>
      <c r="BQ8" s="69"/>
      <c r="BR8" s="61"/>
      <c r="BS8" s="63"/>
      <c r="BT8" s="109"/>
      <c r="BU8" s="61"/>
      <c r="BV8" s="63"/>
      <c r="BW8" s="109"/>
      <c r="BX8" s="61"/>
      <c r="BY8" s="63"/>
      <c r="BZ8" s="109"/>
      <c r="CA8" s="61"/>
      <c r="CB8" s="63"/>
      <c r="CC8" s="106"/>
      <c r="CD8" s="69"/>
      <c r="CE8" s="61"/>
      <c r="CF8" s="63"/>
      <c r="CG8" s="109"/>
      <c r="CH8" s="61"/>
      <c r="CI8" s="63"/>
      <c r="CJ8" s="109"/>
      <c r="CK8" s="61"/>
      <c r="CL8" s="63"/>
      <c r="CM8" s="109"/>
      <c r="CN8" s="61"/>
      <c r="CO8" s="63"/>
      <c r="CP8" s="106"/>
      <c r="CQ8" s="69"/>
      <c r="CR8" s="61"/>
      <c r="CS8" s="63"/>
      <c r="CT8" s="109"/>
      <c r="CU8" s="61"/>
      <c r="CV8" s="63"/>
      <c r="CW8" s="109"/>
      <c r="CX8" s="61"/>
      <c r="CY8" s="63"/>
      <c r="CZ8" s="109"/>
      <c r="DA8" s="61"/>
      <c r="DB8" s="63"/>
      <c r="DC8" s="106"/>
      <c r="DD8" s="69"/>
      <c r="DE8" s="61"/>
      <c r="DF8" s="63"/>
      <c r="DG8" s="109"/>
      <c r="DH8" s="61"/>
      <c r="DI8" s="63"/>
      <c r="DJ8" s="109"/>
      <c r="DK8" s="61"/>
      <c r="DL8" s="63"/>
      <c r="DM8" s="109"/>
      <c r="DN8" s="61"/>
      <c r="DO8" s="63"/>
      <c r="DP8" s="106"/>
      <c r="DQ8" s="69"/>
      <c r="DR8" s="61"/>
      <c r="DS8" s="63"/>
      <c r="DT8" s="109"/>
      <c r="DU8" s="61"/>
      <c r="DV8" s="63"/>
      <c r="DW8" s="109"/>
      <c r="DX8" s="61"/>
      <c r="DY8" s="63"/>
      <c r="DZ8" s="109"/>
      <c r="EA8" s="61"/>
      <c r="EB8" s="63"/>
      <c r="EC8" s="106"/>
      <c r="ED8" s="69"/>
      <c r="EE8" s="61"/>
      <c r="EF8" s="63"/>
      <c r="EG8" s="109"/>
      <c r="EH8" s="61"/>
      <c r="EI8" s="63"/>
      <c r="EJ8" s="109"/>
      <c r="EK8" s="61"/>
      <c r="EL8" s="63"/>
      <c r="EM8" s="109"/>
      <c r="EN8" s="61"/>
      <c r="EO8" s="63"/>
      <c r="EP8" s="106"/>
      <c r="EQ8" s="69"/>
      <c r="ER8" s="61"/>
      <c r="ES8" s="63"/>
      <c r="ET8" s="109"/>
      <c r="EU8" s="61"/>
      <c r="EV8" s="63"/>
      <c r="EW8" s="109"/>
      <c r="EX8" s="61"/>
      <c r="EY8" s="63"/>
      <c r="EZ8" s="109"/>
      <c r="FA8" s="61"/>
      <c r="FB8" s="63"/>
      <c r="FC8" s="113"/>
    </row>
    <row r="9" spans="1:160" x14ac:dyDescent="0.25">
      <c r="B9" s="71"/>
      <c r="C9" s="69"/>
      <c r="D9" s="69"/>
      <c r="E9" s="61"/>
      <c r="F9" s="63"/>
      <c r="G9" s="109"/>
      <c r="H9" s="61"/>
      <c r="I9" s="63"/>
      <c r="J9" s="109"/>
      <c r="K9" s="61"/>
      <c r="L9" s="63"/>
      <c r="M9" s="109"/>
      <c r="N9" s="61"/>
      <c r="O9" s="63"/>
      <c r="P9" s="106"/>
      <c r="Q9" s="69"/>
      <c r="R9" s="61"/>
      <c r="S9" s="63"/>
      <c r="T9" s="109"/>
      <c r="U9" s="61"/>
      <c r="V9" s="63"/>
      <c r="W9" s="109"/>
      <c r="X9" s="61"/>
      <c r="Y9" s="63"/>
      <c r="Z9" s="109"/>
      <c r="AA9" s="61"/>
      <c r="AB9" s="63"/>
      <c r="AC9" s="106"/>
      <c r="AD9" s="69"/>
      <c r="AE9" s="61"/>
      <c r="AF9" s="63"/>
      <c r="AG9" s="109"/>
      <c r="AH9" s="61"/>
      <c r="AI9" s="63"/>
      <c r="AJ9" s="109"/>
      <c r="AK9" s="61"/>
      <c r="AL9" s="63"/>
      <c r="AM9" s="109"/>
      <c r="AN9" s="61"/>
      <c r="AO9" s="63"/>
      <c r="AP9" s="106"/>
      <c r="AQ9" s="69"/>
      <c r="AR9" s="61"/>
      <c r="AS9" s="63"/>
      <c r="AT9" s="109"/>
      <c r="AU9" s="61"/>
      <c r="AV9" s="63"/>
      <c r="AW9" s="109"/>
      <c r="AX9" s="61"/>
      <c r="AY9" s="63"/>
      <c r="AZ9" s="109"/>
      <c r="BA9" s="61"/>
      <c r="BB9" s="63"/>
      <c r="BC9" s="106"/>
      <c r="BD9" s="69"/>
      <c r="BE9" s="61"/>
      <c r="BF9" s="63"/>
      <c r="BG9" s="109"/>
      <c r="BH9" s="61"/>
      <c r="BI9" s="63"/>
      <c r="BJ9" s="109"/>
      <c r="BK9" s="61"/>
      <c r="BL9" s="63"/>
      <c r="BM9" s="109"/>
      <c r="BN9" s="61"/>
      <c r="BO9" s="63"/>
      <c r="BP9" s="106"/>
      <c r="BQ9" s="69"/>
      <c r="BR9" s="61"/>
      <c r="BS9" s="63"/>
      <c r="BT9" s="109"/>
      <c r="BU9" s="61"/>
      <c r="BV9" s="63"/>
      <c r="BW9" s="109"/>
      <c r="BX9" s="61"/>
      <c r="BY9" s="63"/>
      <c r="BZ9" s="109"/>
      <c r="CA9" s="61"/>
      <c r="CB9" s="63"/>
      <c r="CC9" s="106"/>
      <c r="CD9" s="69"/>
      <c r="CE9" s="61"/>
      <c r="CF9" s="63"/>
      <c r="CG9" s="109"/>
      <c r="CH9" s="61"/>
      <c r="CI9" s="63"/>
      <c r="CJ9" s="109"/>
      <c r="CK9" s="61"/>
      <c r="CL9" s="63"/>
      <c r="CM9" s="109"/>
      <c r="CN9" s="61"/>
      <c r="CO9" s="63"/>
      <c r="CP9" s="106"/>
      <c r="CQ9" s="69"/>
      <c r="CR9" s="61"/>
      <c r="CS9" s="63"/>
      <c r="CT9" s="109"/>
      <c r="CU9" s="61"/>
      <c r="CV9" s="63"/>
      <c r="CW9" s="109"/>
      <c r="CX9" s="61"/>
      <c r="CY9" s="63"/>
      <c r="CZ9" s="109"/>
      <c r="DA9" s="61"/>
      <c r="DB9" s="63"/>
      <c r="DC9" s="106"/>
      <c r="DD9" s="69"/>
      <c r="DE9" s="61"/>
      <c r="DF9" s="63"/>
      <c r="DG9" s="109"/>
      <c r="DH9" s="61"/>
      <c r="DI9" s="63"/>
      <c r="DJ9" s="109"/>
      <c r="DK9" s="61"/>
      <c r="DL9" s="63"/>
      <c r="DM9" s="109"/>
      <c r="DN9" s="61"/>
      <c r="DO9" s="63"/>
      <c r="DP9" s="106"/>
      <c r="DQ9" s="69"/>
      <c r="DR9" s="61"/>
      <c r="DS9" s="63"/>
      <c r="DT9" s="109"/>
      <c r="DU9" s="61"/>
      <c r="DV9" s="63"/>
      <c r="DW9" s="109"/>
      <c r="DX9" s="61"/>
      <c r="DY9" s="63"/>
      <c r="DZ9" s="109"/>
      <c r="EA9" s="61"/>
      <c r="EB9" s="63"/>
      <c r="EC9" s="106"/>
      <c r="ED9" s="69"/>
      <c r="EE9" s="61"/>
      <c r="EF9" s="63"/>
      <c r="EG9" s="109"/>
      <c r="EH9" s="61"/>
      <c r="EI9" s="63"/>
      <c r="EJ9" s="109"/>
      <c r="EK9" s="61"/>
      <c r="EL9" s="63"/>
      <c r="EM9" s="109"/>
      <c r="EN9" s="61"/>
      <c r="EO9" s="63"/>
      <c r="EP9" s="106"/>
      <c r="EQ9" s="69"/>
      <c r="ER9" s="61"/>
      <c r="ES9" s="63"/>
      <c r="ET9" s="109"/>
      <c r="EU9" s="61"/>
      <c r="EV9" s="63"/>
      <c r="EW9" s="109"/>
      <c r="EX9" s="61"/>
      <c r="EY9" s="63"/>
      <c r="EZ9" s="109"/>
      <c r="FA9" s="61"/>
      <c r="FB9" s="63"/>
      <c r="FC9" s="113"/>
    </row>
    <row r="10" spans="1:160" x14ac:dyDescent="0.25">
      <c r="B10" s="71"/>
      <c r="C10" s="69"/>
      <c r="D10" s="69"/>
      <c r="E10" s="61"/>
      <c r="F10" s="63"/>
      <c r="G10" s="109"/>
      <c r="H10" s="61"/>
      <c r="I10" s="63"/>
      <c r="J10" s="109"/>
      <c r="K10" s="61"/>
      <c r="L10" s="63"/>
      <c r="M10" s="109"/>
      <c r="N10" s="61"/>
      <c r="O10" s="63"/>
      <c r="P10" s="106"/>
      <c r="Q10" s="107"/>
      <c r="R10" s="61"/>
      <c r="S10" s="63"/>
      <c r="T10" s="109"/>
      <c r="U10" s="61"/>
      <c r="V10" s="63"/>
      <c r="W10" s="109"/>
      <c r="X10" s="61"/>
      <c r="Y10" s="63"/>
      <c r="Z10" s="109"/>
      <c r="AA10" s="61"/>
      <c r="AB10" s="63"/>
      <c r="AC10" s="106"/>
      <c r="AD10" s="107"/>
      <c r="AE10" s="61"/>
      <c r="AF10" s="63"/>
      <c r="AG10" s="109"/>
      <c r="AH10" s="61"/>
      <c r="AI10" s="63"/>
      <c r="AJ10" s="109"/>
      <c r="AK10" s="61"/>
      <c r="AL10" s="63"/>
      <c r="AM10" s="109"/>
      <c r="AN10" s="61"/>
      <c r="AO10" s="63"/>
      <c r="AP10" s="106"/>
      <c r="AQ10" s="107"/>
      <c r="AR10" s="61"/>
      <c r="AS10" s="63"/>
      <c r="AT10" s="109"/>
      <c r="AU10" s="61"/>
      <c r="AV10" s="63"/>
      <c r="AW10" s="109"/>
      <c r="AX10" s="61"/>
      <c r="AY10" s="63"/>
      <c r="AZ10" s="109"/>
      <c r="BA10" s="61"/>
      <c r="BB10" s="63"/>
      <c r="BC10" s="106"/>
      <c r="BD10" s="107"/>
      <c r="BE10" s="61"/>
      <c r="BF10" s="63"/>
      <c r="BG10" s="109"/>
      <c r="BH10" s="61"/>
      <c r="BI10" s="63"/>
      <c r="BJ10" s="109"/>
      <c r="BK10" s="61"/>
      <c r="BL10" s="63"/>
      <c r="BM10" s="109"/>
      <c r="BN10" s="61"/>
      <c r="BO10" s="63"/>
      <c r="BP10" s="106"/>
      <c r="BQ10" s="107"/>
      <c r="BR10" s="61"/>
      <c r="BS10" s="63"/>
      <c r="BT10" s="109"/>
      <c r="BU10" s="61"/>
      <c r="BV10" s="63"/>
      <c r="BW10" s="109"/>
      <c r="BX10" s="61"/>
      <c r="BY10" s="63"/>
      <c r="BZ10" s="109"/>
      <c r="CA10" s="61"/>
      <c r="CB10" s="63"/>
      <c r="CC10" s="106"/>
      <c r="CD10" s="107"/>
      <c r="CE10" s="61"/>
      <c r="CF10" s="63"/>
      <c r="CG10" s="109"/>
      <c r="CH10" s="61"/>
      <c r="CI10" s="63"/>
      <c r="CJ10" s="109"/>
      <c r="CK10" s="61"/>
      <c r="CL10" s="63"/>
      <c r="CM10" s="109"/>
      <c r="CN10" s="61"/>
      <c r="CO10" s="63"/>
      <c r="CP10" s="106"/>
      <c r="CQ10" s="107"/>
      <c r="CR10" s="61"/>
      <c r="CS10" s="63"/>
      <c r="CT10" s="109"/>
      <c r="CU10" s="61"/>
      <c r="CV10" s="63"/>
      <c r="CW10" s="109"/>
      <c r="CX10" s="61"/>
      <c r="CY10" s="63"/>
      <c r="CZ10" s="109"/>
      <c r="DA10" s="61"/>
      <c r="DB10" s="63"/>
      <c r="DC10" s="106"/>
      <c r="DD10" s="107"/>
      <c r="DE10" s="61"/>
      <c r="DF10" s="63"/>
      <c r="DG10" s="109"/>
      <c r="DH10" s="61"/>
      <c r="DI10" s="63"/>
      <c r="DJ10" s="109"/>
      <c r="DK10" s="61"/>
      <c r="DL10" s="63"/>
      <c r="DM10" s="109"/>
      <c r="DN10" s="61"/>
      <c r="DO10" s="63"/>
      <c r="DP10" s="106"/>
      <c r="DQ10" s="107"/>
      <c r="DR10" s="61"/>
      <c r="DS10" s="63"/>
      <c r="DT10" s="109"/>
      <c r="DU10" s="61"/>
      <c r="DV10" s="63"/>
      <c r="DW10" s="109"/>
      <c r="DX10" s="61"/>
      <c r="DY10" s="63"/>
      <c r="DZ10" s="109"/>
      <c r="EA10" s="61"/>
      <c r="EB10" s="63"/>
      <c r="EC10" s="106"/>
      <c r="ED10" s="107"/>
      <c r="EE10" s="61"/>
      <c r="EF10" s="63"/>
      <c r="EG10" s="109"/>
      <c r="EH10" s="61"/>
      <c r="EI10" s="63"/>
      <c r="EJ10" s="109"/>
      <c r="EK10" s="61"/>
      <c r="EL10" s="63"/>
      <c r="EM10" s="109"/>
      <c r="EN10" s="61"/>
      <c r="EO10" s="63"/>
      <c r="EP10" s="106"/>
      <c r="EQ10" s="107"/>
      <c r="ER10" s="61"/>
      <c r="ES10" s="63"/>
      <c r="ET10" s="109"/>
      <c r="EU10" s="61"/>
      <c r="EV10" s="63"/>
      <c r="EW10" s="109"/>
      <c r="EX10" s="61"/>
      <c r="EY10" s="63"/>
      <c r="EZ10" s="109"/>
      <c r="FA10" s="61"/>
      <c r="FB10" s="63"/>
      <c r="FC10" s="113"/>
      <c r="FD10" s="33"/>
    </row>
    <row r="11" spans="1:160" x14ac:dyDescent="0.25">
      <c r="B11" s="71"/>
      <c r="C11" s="69"/>
      <c r="D11" s="69"/>
      <c r="E11" s="61"/>
      <c r="F11" s="63"/>
      <c r="G11" s="109"/>
      <c r="H11" s="61"/>
      <c r="I11" s="63"/>
      <c r="J11" s="109"/>
      <c r="K11" s="61"/>
      <c r="L11" s="63"/>
      <c r="M11" s="109"/>
      <c r="N11" s="61"/>
      <c r="O11" s="63"/>
      <c r="P11" s="106"/>
      <c r="Q11" s="107"/>
      <c r="R11" s="61"/>
      <c r="S11" s="63"/>
      <c r="T11" s="109"/>
      <c r="U11" s="61"/>
      <c r="V11" s="63"/>
      <c r="W11" s="109"/>
      <c r="X11" s="61"/>
      <c r="Y11" s="63"/>
      <c r="Z11" s="109"/>
      <c r="AA11" s="61"/>
      <c r="AB11" s="63"/>
      <c r="AC11" s="106"/>
      <c r="AD11" s="107"/>
      <c r="AE11" s="61"/>
      <c r="AF11" s="63"/>
      <c r="AG11" s="109"/>
      <c r="AH11" s="61"/>
      <c r="AI11" s="63"/>
      <c r="AJ11" s="109"/>
      <c r="AK11" s="61"/>
      <c r="AL11" s="63"/>
      <c r="AM11" s="109"/>
      <c r="AN11" s="61"/>
      <c r="AO11" s="63"/>
      <c r="AP11" s="106"/>
      <c r="AQ11" s="107"/>
      <c r="AR11" s="61"/>
      <c r="AS11" s="63"/>
      <c r="AT11" s="109"/>
      <c r="AU11" s="61"/>
      <c r="AV11" s="63"/>
      <c r="AW11" s="109"/>
      <c r="AX11" s="61"/>
      <c r="AY11" s="63"/>
      <c r="AZ11" s="109"/>
      <c r="BA11" s="61"/>
      <c r="BB11" s="63"/>
      <c r="BC11" s="106"/>
      <c r="BD11" s="107"/>
      <c r="BE11" s="61"/>
      <c r="BF11" s="63"/>
      <c r="BG11" s="109"/>
      <c r="BH11" s="61"/>
      <c r="BI11" s="63"/>
      <c r="BJ11" s="109"/>
      <c r="BK11" s="61"/>
      <c r="BL11" s="63"/>
      <c r="BM11" s="109"/>
      <c r="BN11" s="61"/>
      <c r="BO11" s="63"/>
      <c r="BP11" s="106"/>
      <c r="BQ11" s="107"/>
      <c r="BR11" s="61"/>
      <c r="BS11" s="63"/>
      <c r="BT11" s="109"/>
      <c r="BU11" s="61"/>
      <c r="BV11" s="63"/>
      <c r="BW11" s="109"/>
      <c r="BX11" s="61"/>
      <c r="BY11" s="63"/>
      <c r="BZ11" s="109"/>
      <c r="CA11" s="61"/>
      <c r="CB11" s="63"/>
      <c r="CC11" s="106"/>
      <c r="CD11" s="107"/>
      <c r="CE11" s="61"/>
      <c r="CF11" s="63"/>
      <c r="CG11" s="109"/>
      <c r="CH11" s="61"/>
      <c r="CI11" s="63"/>
      <c r="CJ11" s="109"/>
      <c r="CK11" s="61"/>
      <c r="CL11" s="63"/>
      <c r="CM11" s="109"/>
      <c r="CN11" s="61"/>
      <c r="CO11" s="63"/>
      <c r="CP11" s="106"/>
      <c r="CQ11" s="107"/>
      <c r="CR11" s="61"/>
      <c r="CS11" s="63"/>
      <c r="CT11" s="109"/>
      <c r="CU11" s="61"/>
      <c r="CV11" s="63"/>
      <c r="CW11" s="109"/>
      <c r="CX11" s="61"/>
      <c r="CY11" s="63"/>
      <c r="CZ11" s="109"/>
      <c r="DA11" s="61"/>
      <c r="DB11" s="63"/>
      <c r="DC11" s="106"/>
      <c r="DD11" s="107"/>
      <c r="DE11" s="61"/>
      <c r="DF11" s="63"/>
      <c r="DG11" s="109"/>
      <c r="DH11" s="61"/>
      <c r="DI11" s="63"/>
      <c r="DJ11" s="109"/>
      <c r="DK11" s="61"/>
      <c r="DL11" s="63"/>
      <c r="DM11" s="109"/>
      <c r="DN11" s="61"/>
      <c r="DO11" s="63"/>
      <c r="DP11" s="106"/>
      <c r="DQ11" s="107"/>
      <c r="DR11" s="61"/>
      <c r="DS11" s="63"/>
      <c r="DT11" s="109"/>
      <c r="DU11" s="61"/>
      <c r="DV11" s="63"/>
      <c r="DW11" s="109"/>
      <c r="DX11" s="61"/>
      <c r="DY11" s="63"/>
      <c r="DZ11" s="109"/>
      <c r="EA11" s="61"/>
      <c r="EB11" s="63"/>
      <c r="EC11" s="106"/>
      <c r="ED11" s="107"/>
      <c r="EE11" s="61"/>
      <c r="EF11" s="63"/>
      <c r="EG11" s="109"/>
      <c r="EH11" s="61"/>
      <c r="EI11" s="63"/>
      <c r="EJ11" s="109"/>
      <c r="EK11" s="61"/>
      <c r="EL11" s="63"/>
      <c r="EM11" s="109"/>
      <c r="EN11" s="61"/>
      <c r="EO11" s="63"/>
      <c r="EP11" s="106"/>
      <c r="EQ11" s="107"/>
      <c r="ER11" s="61"/>
      <c r="ES11" s="63"/>
      <c r="ET11" s="109"/>
      <c r="EU11" s="61"/>
      <c r="EV11" s="63"/>
      <c r="EW11" s="109"/>
      <c r="EX11" s="61"/>
      <c r="EY11" s="63"/>
      <c r="EZ11" s="109"/>
      <c r="FA11" s="61"/>
      <c r="FB11" s="63"/>
      <c r="FC11" s="113"/>
      <c r="FD11" s="33"/>
    </row>
    <row r="12" spans="1:160" x14ac:dyDescent="0.25">
      <c r="B12" s="71"/>
      <c r="C12" s="69"/>
      <c r="D12" s="69"/>
      <c r="E12" s="61"/>
      <c r="F12" s="63"/>
      <c r="G12" s="109"/>
      <c r="H12" s="61"/>
      <c r="I12" s="63"/>
      <c r="J12" s="109"/>
      <c r="K12" s="61"/>
      <c r="L12" s="63"/>
      <c r="M12" s="109"/>
      <c r="N12" s="61"/>
      <c r="O12" s="63"/>
      <c r="P12" s="106"/>
      <c r="Q12" s="107"/>
      <c r="R12" s="61"/>
      <c r="S12" s="63"/>
      <c r="T12" s="109"/>
      <c r="U12" s="61"/>
      <c r="V12" s="63"/>
      <c r="W12" s="109"/>
      <c r="X12" s="61"/>
      <c r="Y12" s="63"/>
      <c r="Z12" s="109"/>
      <c r="AA12" s="61"/>
      <c r="AB12" s="63"/>
      <c r="AC12" s="106"/>
      <c r="AD12" s="107"/>
      <c r="AE12" s="61"/>
      <c r="AF12" s="63"/>
      <c r="AG12" s="109"/>
      <c r="AH12" s="61"/>
      <c r="AI12" s="63"/>
      <c r="AJ12" s="109"/>
      <c r="AK12" s="61"/>
      <c r="AL12" s="63"/>
      <c r="AM12" s="109"/>
      <c r="AN12" s="61"/>
      <c r="AO12" s="63"/>
      <c r="AP12" s="106"/>
      <c r="AQ12" s="107"/>
      <c r="AR12" s="61"/>
      <c r="AS12" s="63"/>
      <c r="AT12" s="109"/>
      <c r="AU12" s="61"/>
      <c r="AV12" s="63"/>
      <c r="AW12" s="109"/>
      <c r="AX12" s="61"/>
      <c r="AY12" s="63"/>
      <c r="AZ12" s="109"/>
      <c r="BA12" s="61"/>
      <c r="BB12" s="63"/>
      <c r="BC12" s="106"/>
      <c r="BD12" s="107"/>
      <c r="BE12" s="61"/>
      <c r="BF12" s="63"/>
      <c r="BG12" s="109"/>
      <c r="BH12" s="61"/>
      <c r="BI12" s="63"/>
      <c r="BJ12" s="109"/>
      <c r="BK12" s="61"/>
      <c r="BL12" s="63"/>
      <c r="BM12" s="109"/>
      <c r="BN12" s="61"/>
      <c r="BO12" s="63"/>
      <c r="BP12" s="106"/>
      <c r="BQ12" s="107"/>
      <c r="BR12" s="61"/>
      <c r="BS12" s="63"/>
      <c r="BT12" s="109"/>
      <c r="BU12" s="61"/>
      <c r="BV12" s="63"/>
      <c r="BW12" s="109"/>
      <c r="BX12" s="61"/>
      <c r="BY12" s="63"/>
      <c r="BZ12" s="109"/>
      <c r="CA12" s="61"/>
      <c r="CB12" s="63"/>
      <c r="CC12" s="106"/>
      <c r="CD12" s="107"/>
      <c r="CE12" s="61"/>
      <c r="CF12" s="63"/>
      <c r="CG12" s="109"/>
      <c r="CH12" s="61"/>
      <c r="CI12" s="63"/>
      <c r="CJ12" s="109"/>
      <c r="CK12" s="61"/>
      <c r="CL12" s="63"/>
      <c r="CM12" s="109"/>
      <c r="CN12" s="61"/>
      <c r="CO12" s="63"/>
      <c r="CP12" s="106"/>
      <c r="CQ12" s="107"/>
      <c r="CR12" s="61"/>
      <c r="CS12" s="63"/>
      <c r="CT12" s="109"/>
      <c r="CU12" s="61"/>
      <c r="CV12" s="63"/>
      <c r="CW12" s="109"/>
      <c r="CX12" s="61"/>
      <c r="CY12" s="63"/>
      <c r="CZ12" s="109"/>
      <c r="DA12" s="61"/>
      <c r="DB12" s="63"/>
      <c r="DC12" s="106"/>
      <c r="DD12" s="107"/>
      <c r="DE12" s="61"/>
      <c r="DF12" s="63"/>
      <c r="DG12" s="109"/>
      <c r="DH12" s="61"/>
      <c r="DI12" s="63"/>
      <c r="DJ12" s="109"/>
      <c r="DK12" s="61"/>
      <c r="DL12" s="63"/>
      <c r="DM12" s="109"/>
      <c r="DN12" s="61"/>
      <c r="DO12" s="63"/>
      <c r="DP12" s="106"/>
      <c r="DQ12" s="107"/>
      <c r="DR12" s="61"/>
      <c r="DS12" s="63"/>
      <c r="DT12" s="109"/>
      <c r="DU12" s="61"/>
      <c r="DV12" s="63"/>
      <c r="DW12" s="109"/>
      <c r="DX12" s="61"/>
      <c r="DY12" s="63"/>
      <c r="DZ12" s="109"/>
      <c r="EA12" s="61"/>
      <c r="EB12" s="63"/>
      <c r="EC12" s="106"/>
      <c r="ED12" s="107"/>
      <c r="EE12" s="61"/>
      <c r="EF12" s="63"/>
      <c r="EG12" s="109"/>
      <c r="EH12" s="61"/>
      <c r="EI12" s="63"/>
      <c r="EJ12" s="109"/>
      <c r="EK12" s="61"/>
      <c r="EL12" s="63"/>
      <c r="EM12" s="109"/>
      <c r="EN12" s="61"/>
      <c r="EO12" s="63"/>
      <c r="EP12" s="106"/>
      <c r="EQ12" s="107"/>
      <c r="ER12" s="61"/>
      <c r="ES12" s="63"/>
      <c r="ET12" s="109"/>
      <c r="EU12" s="61"/>
      <c r="EV12" s="63"/>
      <c r="EW12" s="109"/>
      <c r="EX12" s="61"/>
      <c r="EY12" s="63"/>
      <c r="EZ12" s="109"/>
      <c r="FA12" s="61"/>
      <c r="FB12" s="63"/>
      <c r="FC12" s="113"/>
      <c r="FD12" s="33"/>
    </row>
    <row r="13" spans="1:160" x14ac:dyDescent="0.25">
      <c r="B13" s="71"/>
      <c r="C13" s="69"/>
      <c r="D13" s="69"/>
      <c r="E13" s="61"/>
      <c r="F13" s="63"/>
      <c r="G13" s="109"/>
      <c r="H13" s="61"/>
      <c r="I13" s="63"/>
      <c r="J13" s="109"/>
      <c r="K13" s="61"/>
      <c r="L13" s="63"/>
      <c r="M13" s="109"/>
      <c r="N13" s="61"/>
      <c r="O13" s="63"/>
      <c r="P13" s="106"/>
      <c r="Q13" s="107"/>
      <c r="R13" s="61"/>
      <c r="S13" s="63"/>
      <c r="T13" s="109"/>
      <c r="U13" s="61"/>
      <c r="V13" s="63"/>
      <c r="W13" s="109"/>
      <c r="X13" s="61"/>
      <c r="Y13" s="63"/>
      <c r="Z13" s="109"/>
      <c r="AA13" s="61"/>
      <c r="AB13" s="63"/>
      <c r="AC13" s="106"/>
      <c r="AD13" s="107"/>
      <c r="AE13" s="61"/>
      <c r="AF13" s="63"/>
      <c r="AG13" s="109"/>
      <c r="AH13" s="61"/>
      <c r="AI13" s="63"/>
      <c r="AJ13" s="109"/>
      <c r="AK13" s="61"/>
      <c r="AL13" s="63"/>
      <c r="AM13" s="109"/>
      <c r="AN13" s="61"/>
      <c r="AO13" s="63"/>
      <c r="AP13" s="106"/>
      <c r="AQ13" s="107"/>
      <c r="AR13" s="61"/>
      <c r="AS13" s="63"/>
      <c r="AT13" s="109"/>
      <c r="AU13" s="61"/>
      <c r="AV13" s="63"/>
      <c r="AW13" s="109"/>
      <c r="AX13" s="61"/>
      <c r="AY13" s="63"/>
      <c r="AZ13" s="109"/>
      <c r="BA13" s="61"/>
      <c r="BB13" s="63"/>
      <c r="BC13" s="106"/>
      <c r="BD13" s="107"/>
      <c r="BE13" s="61"/>
      <c r="BF13" s="63"/>
      <c r="BG13" s="109"/>
      <c r="BH13" s="61"/>
      <c r="BI13" s="63"/>
      <c r="BJ13" s="109"/>
      <c r="BK13" s="61"/>
      <c r="BL13" s="63"/>
      <c r="BM13" s="109"/>
      <c r="BN13" s="61"/>
      <c r="BO13" s="63"/>
      <c r="BP13" s="106"/>
      <c r="BQ13" s="107"/>
      <c r="BR13" s="61"/>
      <c r="BS13" s="63"/>
      <c r="BT13" s="109"/>
      <c r="BU13" s="61"/>
      <c r="BV13" s="63"/>
      <c r="BW13" s="109"/>
      <c r="BX13" s="61"/>
      <c r="BY13" s="63"/>
      <c r="BZ13" s="109"/>
      <c r="CA13" s="61"/>
      <c r="CB13" s="63"/>
      <c r="CC13" s="106"/>
      <c r="CD13" s="107"/>
      <c r="CE13" s="61"/>
      <c r="CF13" s="63"/>
      <c r="CG13" s="109"/>
      <c r="CH13" s="61"/>
      <c r="CI13" s="63"/>
      <c r="CJ13" s="109"/>
      <c r="CK13" s="61"/>
      <c r="CL13" s="63"/>
      <c r="CM13" s="109"/>
      <c r="CN13" s="61"/>
      <c r="CO13" s="63"/>
      <c r="CP13" s="106"/>
      <c r="CQ13" s="107"/>
      <c r="CR13" s="61"/>
      <c r="CS13" s="63"/>
      <c r="CT13" s="109"/>
      <c r="CU13" s="61"/>
      <c r="CV13" s="63"/>
      <c r="CW13" s="109"/>
      <c r="CX13" s="61"/>
      <c r="CY13" s="63"/>
      <c r="CZ13" s="109"/>
      <c r="DA13" s="61"/>
      <c r="DB13" s="63"/>
      <c r="DC13" s="106"/>
      <c r="DD13" s="107"/>
      <c r="DE13" s="61"/>
      <c r="DF13" s="63"/>
      <c r="DG13" s="109"/>
      <c r="DH13" s="61"/>
      <c r="DI13" s="63"/>
      <c r="DJ13" s="109"/>
      <c r="DK13" s="61"/>
      <c r="DL13" s="63"/>
      <c r="DM13" s="109"/>
      <c r="DN13" s="61"/>
      <c r="DO13" s="63"/>
      <c r="DP13" s="106"/>
      <c r="DQ13" s="107"/>
      <c r="DR13" s="61"/>
      <c r="DS13" s="63"/>
      <c r="DT13" s="109"/>
      <c r="DU13" s="61"/>
      <c r="DV13" s="63"/>
      <c r="DW13" s="109"/>
      <c r="DX13" s="61"/>
      <c r="DY13" s="63"/>
      <c r="DZ13" s="109"/>
      <c r="EA13" s="61"/>
      <c r="EB13" s="63"/>
      <c r="EC13" s="106"/>
      <c r="ED13" s="107"/>
      <c r="EE13" s="61"/>
      <c r="EF13" s="63"/>
      <c r="EG13" s="109"/>
      <c r="EH13" s="61"/>
      <c r="EI13" s="63"/>
      <c r="EJ13" s="109"/>
      <c r="EK13" s="61"/>
      <c r="EL13" s="63"/>
      <c r="EM13" s="109"/>
      <c r="EN13" s="61"/>
      <c r="EO13" s="63"/>
      <c r="EP13" s="106"/>
      <c r="EQ13" s="107"/>
      <c r="ER13" s="61"/>
      <c r="ES13" s="63"/>
      <c r="ET13" s="109"/>
      <c r="EU13" s="61"/>
      <c r="EV13" s="63"/>
      <c r="EW13" s="109"/>
      <c r="EX13" s="61"/>
      <c r="EY13" s="63"/>
      <c r="EZ13" s="109"/>
      <c r="FA13" s="61"/>
      <c r="FB13" s="63"/>
      <c r="FC13" s="113"/>
      <c r="FD13" s="33"/>
    </row>
    <row r="14" spans="1:160" x14ac:dyDescent="0.25">
      <c r="B14" s="71"/>
      <c r="C14" s="69"/>
      <c r="D14" s="69"/>
      <c r="E14" s="61"/>
      <c r="F14" s="63"/>
      <c r="G14" s="69"/>
      <c r="H14" s="61"/>
      <c r="I14" s="63"/>
      <c r="J14" s="69"/>
      <c r="K14" s="61"/>
      <c r="L14" s="63"/>
      <c r="M14" s="69"/>
      <c r="N14" s="61"/>
      <c r="O14" s="63"/>
      <c r="P14" s="93"/>
      <c r="Q14" s="69"/>
      <c r="R14" s="61"/>
      <c r="S14" s="63"/>
      <c r="T14" s="69"/>
      <c r="U14" s="61"/>
      <c r="V14" s="63"/>
      <c r="W14" s="69"/>
      <c r="X14" s="61"/>
      <c r="Y14" s="63"/>
      <c r="Z14" s="69"/>
      <c r="AA14" s="61"/>
      <c r="AB14" s="63"/>
      <c r="AC14" s="93"/>
      <c r="AD14" s="69"/>
      <c r="AE14" s="61"/>
      <c r="AF14" s="63"/>
      <c r="AG14" s="69"/>
      <c r="AH14" s="61"/>
      <c r="AI14" s="63"/>
      <c r="AJ14" s="69"/>
      <c r="AK14" s="61"/>
      <c r="AL14" s="63"/>
      <c r="AM14" s="69"/>
      <c r="AN14" s="61"/>
      <c r="AO14" s="63"/>
      <c r="AP14" s="93"/>
      <c r="AQ14" s="69"/>
      <c r="AR14" s="61"/>
      <c r="AS14" s="63"/>
      <c r="AT14" s="69"/>
      <c r="AU14" s="61"/>
      <c r="AV14" s="63"/>
      <c r="AW14" s="69"/>
      <c r="AX14" s="61"/>
      <c r="AY14" s="63"/>
      <c r="AZ14" s="69"/>
      <c r="BA14" s="61"/>
      <c r="BB14" s="63"/>
      <c r="BC14" s="93"/>
      <c r="BD14" s="69"/>
      <c r="BE14" s="61"/>
      <c r="BF14" s="63"/>
      <c r="BG14" s="69"/>
      <c r="BH14" s="61"/>
      <c r="BI14" s="63"/>
      <c r="BJ14" s="69"/>
      <c r="BK14" s="61"/>
      <c r="BL14" s="63"/>
      <c r="BM14" s="69"/>
      <c r="BN14" s="61"/>
      <c r="BO14" s="63"/>
      <c r="BP14" s="93"/>
      <c r="BQ14" s="69"/>
      <c r="BR14" s="61"/>
      <c r="BS14" s="63"/>
      <c r="BT14" s="69"/>
      <c r="BU14" s="61"/>
      <c r="BV14" s="63"/>
      <c r="BW14" s="69"/>
      <c r="BX14" s="61"/>
      <c r="BY14" s="63"/>
      <c r="BZ14" s="69"/>
      <c r="CA14" s="61"/>
      <c r="CB14" s="63"/>
      <c r="CC14" s="93"/>
      <c r="CD14" s="69"/>
      <c r="CE14" s="61"/>
      <c r="CF14" s="63"/>
      <c r="CG14" s="69"/>
      <c r="CH14" s="61"/>
      <c r="CI14" s="63"/>
      <c r="CJ14" s="69"/>
      <c r="CK14" s="61"/>
      <c r="CL14" s="63"/>
      <c r="CM14" s="69"/>
      <c r="CN14" s="61"/>
      <c r="CO14" s="63"/>
      <c r="CP14" s="93"/>
      <c r="CQ14" s="69"/>
      <c r="CR14" s="61"/>
      <c r="CS14" s="63"/>
      <c r="CT14" s="69"/>
      <c r="CU14" s="61"/>
      <c r="CV14" s="63"/>
      <c r="CW14" s="69"/>
      <c r="CX14" s="61"/>
      <c r="CY14" s="63"/>
      <c r="CZ14" s="69"/>
      <c r="DA14" s="61"/>
      <c r="DB14" s="63"/>
      <c r="DC14" s="93"/>
      <c r="DD14" s="69"/>
      <c r="DE14" s="61"/>
      <c r="DF14" s="63"/>
      <c r="DG14" s="69"/>
      <c r="DH14" s="61"/>
      <c r="DI14" s="63"/>
      <c r="DJ14" s="69"/>
      <c r="DK14" s="61"/>
      <c r="DL14" s="63"/>
      <c r="DM14" s="69"/>
      <c r="DN14" s="61"/>
      <c r="DO14" s="63"/>
      <c r="DP14" s="93"/>
      <c r="DQ14" s="69"/>
      <c r="DR14" s="61"/>
      <c r="DS14" s="63"/>
      <c r="DT14" s="69"/>
      <c r="DU14" s="61"/>
      <c r="DV14" s="63"/>
      <c r="DW14" s="69"/>
      <c r="DX14" s="61"/>
      <c r="DY14" s="63"/>
      <c r="DZ14" s="69"/>
      <c r="EA14" s="61"/>
      <c r="EB14" s="63"/>
      <c r="EC14" s="93"/>
      <c r="ED14" s="69"/>
      <c r="EE14" s="61"/>
      <c r="EF14" s="63"/>
      <c r="EG14" s="69"/>
      <c r="EH14" s="61"/>
      <c r="EI14" s="63"/>
      <c r="EJ14" s="69"/>
      <c r="EK14" s="61"/>
      <c r="EL14" s="63"/>
      <c r="EM14" s="69"/>
      <c r="EN14" s="61"/>
      <c r="EO14" s="63"/>
      <c r="EP14" s="93"/>
      <c r="EQ14" s="69"/>
      <c r="ER14" s="61"/>
      <c r="ES14" s="63"/>
      <c r="ET14" s="69"/>
      <c r="EU14" s="61"/>
      <c r="EV14" s="63"/>
      <c r="EW14" s="69"/>
      <c r="EX14" s="61"/>
      <c r="EY14" s="63"/>
      <c r="EZ14" s="69"/>
      <c r="FA14" s="61"/>
      <c r="FB14" s="63"/>
      <c r="FC14" s="78"/>
    </row>
    <row r="15" spans="1:160" x14ac:dyDescent="0.25">
      <c r="B15" s="71"/>
      <c r="C15" s="69"/>
      <c r="D15" s="69"/>
      <c r="E15" s="61"/>
      <c r="F15" s="63"/>
      <c r="G15" s="69"/>
      <c r="H15" s="61"/>
      <c r="I15" s="63"/>
      <c r="J15" s="69"/>
      <c r="K15" s="61"/>
      <c r="L15" s="63"/>
      <c r="M15" s="69"/>
      <c r="N15" s="61"/>
      <c r="O15" s="63"/>
      <c r="P15" s="93"/>
      <c r="Q15" s="69"/>
      <c r="R15" s="61"/>
      <c r="S15" s="63"/>
      <c r="T15" s="69"/>
      <c r="U15" s="61"/>
      <c r="V15" s="63"/>
      <c r="W15" s="69"/>
      <c r="X15" s="61"/>
      <c r="Y15" s="63"/>
      <c r="Z15" s="69"/>
      <c r="AA15" s="61"/>
      <c r="AB15" s="63"/>
      <c r="AC15" s="93"/>
      <c r="AD15" s="69"/>
      <c r="AE15" s="61"/>
      <c r="AF15" s="63"/>
      <c r="AG15" s="69"/>
      <c r="AH15" s="61"/>
      <c r="AI15" s="63"/>
      <c r="AJ15" s="69"/>
      <c r="AK15" s="61"/>
      <c r="AL15" s="63"/>
      <c r="AM15" s="69"/>
      <c r="AN15" s="61"/>
      <c r="AO15" s="63"/>
      <c r="AP15" s="93"/>
      <c r="AQ15" s="69"/>
      <c r="AR15" s="61"/>
      <c r="AS15" s="63"/>
      <c r="AT15" s="69"/>
      <c r="AU15" s="61"/>
      <c r="AV15" s="63"/>
      <c r="AW15" s="69"/>
      <c r="AX15" s="61"/>
      <c r="AY15" s="63"/>
      <c r="AZ15" s="69"/>
      <c r="BA15" s="61"/>
      <c r="BB15" s="63"/>
      <c r="BC15" s="93"/>
      <c r="BD15" s="69"/>
      <c r="BE15" s="61"/>
      <c r="BF15" s="63"/>
      <c r="BG15" s="69"/>
      <c r="BH15" s="61"/>
      <c r="BI15" s="63"/>
      <c r="BJ15" s="69"/>
      <c r="BK15" s="61"/>
      <c r="BL15" s="63"/>
      <c r="BM15" s="69"/>
      <c r="BN15" s="61"/>
      <c r="BO15" s="63"/>
      <c r="BP15" s="93"/>
      <c r="BQ15" s="69"/>
      <c r="BR15" s="61"/>
      <c r="BS15" s="63"/>
      <c r="BT15" s="69"/>
      <c r="BU15" s="61"/>
      <c r="BV15" s="63"/>
      <c r="BW15" s="69"/>
      <c r="BX15" s="61"/>
      <c r="BY15" s="63"/>
      <c r="BZ15" s="69"/>
      <c r="CA15" s="61"/>
      <c r="CB15" s="63"/>
      <c r="CC15" s="93"/>
      <c r="CD15" s="69"/>
      <c r="CE15" s="61"/>
      <c r="CF15" s="63"/>
      <c r="CG15" s="69"/>
      <c r="CH15" s="61"/>
      <c r="CI15" s="63"/>
      <c r="CJ15" s="69"/>
      <c r="CK15" s="61"/>
      <c r="CL15" s="63"/>
      <c r="CM15" s="69"/>
      <c r="CN15" s="61"/>
      <c r="CO15" s="63"/>
      <c r="CP15" s="93"/>
      <c r="CQ15" s="69"/>
      <c r="CR15" s="61"/>
      <c r="CS15" s="63"/>
      <c r="CT15" s="69"/>
      <c r="CU15" s="61"/>
      <c r="CV15" s="63"/>
      <c r="CW15" s="69"/>
      <c r="CX15" s="61"/>
      <c r="CY15" s="63"/>
      <c r="CZ15" s="69"/>
      <c r="DA15" s="61"/>
      <c r="DB15" s="63"/>
      <c r="DC15" s="93"/>
      <c r="DD15" s="69"/>
      <c r="DE15" s="61"/>
      <c r="DF15" s="63"/>
      <c r="DG15" s="69"/>
      <c r="DH15" s="61"/>
      <c r="DI15" s="63"/>
      <c r="DJ15" s="69"/>
      <c r="DK15" s="61"/>
      <c r="DL15" s="63"/>
      <c r="DM15" s="69"/>
      <c r="DN15" s="61"/>
      <c r="DO15" s="63"/>
      <c r="DP15" s="93"/>
      <c r="DQ15" s="69"/>
      <c r="DR15" s="61"/>
      <c r="DS15" s="63"/>
      <c r="DT15" s="69"/>
      <c r="DU15" s="61"/>
      <c r="DV15" s="63"/>
      <c r="DW15" s="69"/>
      <c r="DX15" s="61"/>
      <c r="DY15" s="63"/>
      <c r="DZ15" s="69"/>
      <c r="EA15" s="61"/>
      <c r="EB15" s="63"/>
      <c r="EC15" s="93"/>
      <c r="ED15" s="69"/>
      <c r="EE15" s="61"/>
      <c r="EF15" s="63"/>
      <c r="EG15" s="69"/>
      <c r="EH15" s="61"/>
      <c r="EI15" s="63"/>
      <c r="EJ15" s="69"/>
      <c r="EK15" s="61"/>
      <c r="EL15" s="63"/>
      <c r="EM15" s="69"/>
      <c r="EN15" s="61"/>
      <c r="EO15" s="63"/>
      <c r="EP15" s="93"/>
      <c r="EQ15" s="69"/>
      <c r="ER15" s="61"/>
      <c r="ES15" s="63"/>
      <c r="ET15" s="69"/>
      <c r="EU15" s="61"/>
      <c r="EV15" s="63"/>
      <c r="EW15" s="69"/>
      <c r="EX15" s="61"/>
      <c r="EY15" s="63"/>
      <c r="EZ15" s="69"/>
      <c r="FA15" s="61"/>
      <c r="FB15" s="63"/>
      <c r="FC15" s="78"/>
    </row>
    <row r="16" spans="1:160" x14ac:dyDescent="0.25">
      <c r="B16" s="71"/>
      <c r="C16" s="69"/>
      <c r="D16" s="69"/>
      <c r="E16" s="61"/>
      <c r="F16" s="63"/>
      <c r="G16" s="69"/>
      <c r="H16" s="61"/>
      <c r="I16" s="63"/>
      <c r="J16" s="69"/>
      <c r="K16" s="61"/>
      <c r="L16" s="63"/>
      <c r="M16" s="69"/>
      <c r="N16" s="61"/>
      <c r="O16" s="63"/>
      <c r="P16" s="93"/>
      <c r="Q16" s="69"/>
      <c r="R16" s="61"/>
      <c r="S16" s="63"/>
      <c r="T16" s="69"/>
      <c r="U16" s="61"/>
      <c r="V16" s="63"/>
      <c r="W16" s="69"/>
      <c r="X16" s="61"/>
      <c r="Y16" s="63"/>
      <c r="Z16" s="69"/>
      <c r="AA16" s="61"/>
      <c r="AB16" s="63"/>
      <c r="AC16" s="93"/>
      <c r="AD16" s="69"/>
      <c r="AE16" s="61"/>
      <c r="AF16" s="63"/>
      <c r="AG16" s="69"/>
      <c r="AH16" s="61"/>
      <c r="AI16" s="63"/>
      <c r="AJ16" s="69"/>
      <c r="AK16" s="61"/>
      <c r="AL16" s="63"/>
      <c r="AM16" s="69"/>
      <c r="AN16" s="61"/>
      <c r="AO16" s="63"/>
      <c r="AP16" s="93"/>
      <c r="AQ16" s="69"/>
      <c r="AR16" s="61"/>
      <c r="AS16" s="63"/>
      <c r="AT16" s="69"/>
      <c r="AU16" s="61"/>
      <c r="AV16" s="63"/>
      <c r="AW16" s="69"/>
      <c r="AX16" s="61"/>
      <c r="AY16" s="63"/>
      <c r="AZ16" s="69"/>
      <c r="BA16" s="61"/>
      <c r="BB16" s="63"/>
      <c r="BC16" s="93"/>
      <c r="BD16" s="69"/>
      <c r="BE16" s="61"/>
      <c r="BF16" s="63"/>
      <c r="BG16" s="69"/>
      <c r="BH16" s="61"/>
      <c r="BI16" s="63"/>
      <c r="BJ16" s="69"/>
      <c r="BK16" s="61"/>
      <c r="BL16" s="63"/>
      <c r="BM16" s="69"/>
      <c r="BN16" s="61"/>
      <c r="BO16" s="63"/>
      <c r="BP16" s="93"/>
      <c r="BQ16" s="69"/>
      <c r="BR16" s="61"/>
      <c r="BS16" s="63"/>
      <c r="BT16" s="69"/>
      <c r="BU16" s="61"/>
      <c r="BV16" s="63"/>
      <c r="BW16" s="69"/>
      <c r="BX16" s="61"/>
      <c r="BY16" s="63"/>
      <c r="BZ16" s="69"/>
      <c r="CA16" s="61"/>
      <c r="CB16" s="63"/>
      <c r="CC16" s="93"/>
      <c r="CD16" s="69"/>
      <c r="CE16" s="61"/>
      <c r="CF16" s="63"/>
      <c r="CG16" s="69"/>
      <c r="CH16" s="61"/>
      <c r="CI16" s="63"/>
      <c r="CJ16" s="69"/>
      <c r="CK16" s="61"/>
      <c r="CL16" s="63"/>
      <c r="CM16" s="69"/>
      <c r="CN16" s="61"/>
      <c r="CO16" s="63"/>
      <c r="CP16" s="93"/>
      <c r="CQ16" s="69"/>
      <c r="CR16" s="61"/>
      <c r="CS16" s="63"/>
      <c r="CT16" s="69"/>
      <c r="CU16" s="61"/>
      <c r="CV16" s="63"/>
      <c r="CW16" s="69"/>
      <c r="CX16" s="61"/>
      <c r="CY16" s="63"/>
      <c r="CZ16" s="69"/>
      <c r="DA16" s="61"/>
      <c r="DB16" s="63"/>
      <c r="DC16" s="93"/>
      <c r="DD16" s="69"/>
      <c r="DE16" s="61"/>
      <c r="DF16" s="63"/>
      <c r="DG16" s="69"/>
      <c r="DH16" s="61"/>
      <c r="DI16" s="63"/>
      <c r="DJ16" s="69"/>
      <c r="DK16" s="61"/>
      <c r="DL16" s="63"/>
      <c r="DM16" s="69"/>
      <c r="DN16" s="61"/>
      <c r="DO16" s="63"/>
      <c r="DP16" s="93"/>
      <c r="DQ16" s="69"/>
      <c r="DR16" s="61"/>
      <c r="DS16" s="63"/>
      <c r="DT16" s="69"/>
      <c r="DU16" s="61"/>
      <c r="DV16" s="63"/>
      <c r="DW16" s="69"/>
      <c r="DX16" s="61"/>
      <c r="DY16" s="63"/>
      <c r="DZ16" s="69"/>
      <c r="EA16" s="61"/>
      <c r="EB16" s="63"/>
      <c r="EC16" s="93"/>
      <c r="ED16" s="69"/>
      <c r="EE16" s="61"/>
      <c r="EF16" s="63"/>
      <c r="EG16" s="69"/>
      <c r="EH16" s="61"/>
      <c r="EI16" s="63"/>
      <c r="EJ16" s="69"/>
      <c r="EK16" s="61"/>
      <c r="EL16" s="63"/>
      <c r="EM16" s="69"/>
      <c r="EN16" s="61"/>
      <c r="EO16" s="63"/>
      <c r="EP16" s="93"/>
      <c r="EQ16" s="69"/>
      <c r="ER16" s="61"/>
      <c r="ES16" s="63"/>
      <c r="ET16" s="69"/>
      <c r="EU16" s="61"/>
      <c r="EV16" s="63"/>
      <c r="EW16" s="69"/>
      <c r="EX16" s="61"/>
      <c r="EY16" s="63"/>
      <c r="EZ16" s="69"/>
      <c r="FA16" s="61"/>
      <c r="FB16" s="63"/>
      <c r="FC16" s="78"/>
    </row>
    <row r="17" spans="2:159" x14ac:dyDescent="0.25">
      <c r="B17" s="71"/>
      <c r="C17" s="69"/>
      <c r="D17" s="69"/>
      <c r="E17" s="61"/>
      <c r="F17" s="63"/>
      <c r="G17" s="69"/>
      <c r="H17" s="61"/>
      <c r="I17" s="63"/>
      <c r="J17" s="69"/>
      <c r="K17" s="61"/>
      <c r="L17" s="63"/>
      <c r="M17" s="69"/>
      <c r="N17" s="61"/>
      <c r="O17" s="63"/>
      <c r="P17" s="93"/>
      <c r="Q17" s="69"/>
      <c r="R17" s="61"/>
      <c r="S17" s="63"/>
      <c r="T17" s="69"/>
      <c r="U17" s="61"/>
      <c r="V17" s="63"/>
      <c r="W17" s="69"/>
      <c r="X17" s="61"/>
      <c r="Y17" s="63"/>
      <c r="Z17" s="69"/>
      <c r="AA17" s="61"/>
      <c r="AB17" s="63"/>
      <c r="AC17" s="93"/>
      <c r="AD17" s="69"/>
      <c r="AE17" s="61"/>
      <c r="AF17" s="63"/>
      <c r="AG17" s="69"/>
      <c r="AH17" s="61"/>
      <c r="AI17" s="63"/>
      <c r="AJ17" s="69"/>
      <c r="AK17" s="61"/>
      <c r="AL17" s="63"/>
      <c r="AM17" s="69"/>
      <c r="AN17" s="61"/>
      <c r="AO17" s="63"/>
      <c r="AP17" s="93"/>
      <c r="AQ17" s="69"/>
      <c r="AR17" s="61"/>
      <c r="AS17" s="63"/>
      <c r="AT17" s="69"/>
      <c r="AU17" s="61"/>
      <c r="AV17" s="63"/>
      <c r="AW17" s="69"/>
      <c r="AX17" s="61"/>
      <c r="AY17" s="63"/>
      <c r="AZ17" s="69"/>
      <c r="BA17" s="61"/>
      <c r="BB17" s="63"/>
      <c r="BC17" s="93"/>
      <c r="BD17" s="69"/>
      <c r="BE17" s="61"/>
      <c r="BF17" s="63"/>
      <c r="BG17" s="69"/>
      <c r="BH17" s="61"/>
      <c r="BI17" s="63"/>
      <c r="BJ17" s="69"/>
      <c r="BK17" s="61"/>
      <c r="BL17" s="63"/>
      <c r="BM17" s="69"/>
      <c r="BN17" s="61"/>
      <c r="BO17" s="63"/>
      <c r="BP17" s="93"/>
      <c r="BQ17" s="69"/>
      <c r="BR17" s="61"/>
      <c r="BS17" s="63"/>
      <c r="BT17" s="69"/>
      <c r="BU17" s="61"/>
      <c r="BV17" s="63"/>
      <c r="BW17" s="69"/>
      <c r="BX17" s="61"/>
      <c r="BY17" s="63"/>
      <c r="BZ17" s="69"/>
      <c r="CA17" s="61"/>
      <c r="CB17" s="63"/>
      <c r="CC17" s="93"/>
      <c r="CD17" s="69"/>
      <c r="CE17" s="61"/>
      <c r="CF17" s="63"/>
      <c r="CG17" s="69"/>
      <c r="CH17" s="61"/>
      <c r="CI17" s="63"/>
      <c r="CJ17" s="69"/>
      <c r="CK17" s="61"/>
      <c r="CL17" s="63"/>
      <c r="CM17" s="69"/>
      <c r="CN17" s="61"/>
      <c r="CO17" s="63"/>
      <c r="CP17" s="93"/>
      <c r="CQ17" s="69"/>
      <c r="CR17" s="61"/>
      <c r="CS17" s="63"/>
      <c r="CT17" s="69"/>
      <c r="CU17" s="61"/>
      <c r="CV17" s="63"/>
      <c r="CW17" s="69"/>
      <c r="CX17" s="61"/>
      <c r="CY17" s="63"/>
      <c r="CZ17" s="69"/>
      <c r="DA17" s="61"/>
      <c r="DB17" s="63"/>
      <c r="DC17" s="93"/>
      <c r="DD17" s="69"/>
      <c r="DE17" s="61"/>
      <c r="DF17" s="63"/>
      <c r="DG17" s="69"/>
      <c r="DH17" s="61"/>
      <c r="DI17" s="63"/>
      <c r="DJ17" s="69"/>
      <c r="DK17" s="61"/>
      <c r="DL17" s="63"/>
      <c r="DM17" s="69"/>
      <c r="DN17" s="61"/>
      <c r="DO17" s="63"/>
      <c r="DP17" s="93"/>
      <c r="DQ17" s="69"/>
      <c r="DR17" s="61"/>
      <c r="DS17" s="63"/>
      <c r="DT17" s="69"/>
      <c r="DU17" s="61"/>
      <c r="DV17" s="63"/>
      <c r="DW17" s="69"/>
      <c r="DX17" s="61"/>
      <c r="DY17" s="63"/>
      <c r="DZ17" s="69"/>
      <c r="EA17" s="61"/>
      <c r="EB17" s="63"/>
      <c r="EC17" s="93"/>
      <c r="ED17" s="69"/>
      <c r="EE17" s="61"/>
      <c r="EF17" s="63"/>
      <c r="EG17" s="69"/>
      <c r="EH17" s="61"/>
      <c r="EI17" s="63"/>
      <c r="EJ17" s="69"/>
      <c r="EK17" s="61"/>
      <c r="EL17" s="63"/>
      <c r="EM17" s="69"/>
      <c r="EN17" s="61"/>
      <c r="EO17" s="63"/>
      <c r="EP17" s="93"/>
      <c r="EQ17" s="69"/>
      <c r="ER17" s="61"/>
      <c r="ES17" s="63"/>
      <c r="ET17" s="69"/>
      <c r="EU17" s="61"/>
      <c r="EV17" s="63"/>
      <c r="EW17" s="69"/>
      <c r="EX17" s="61"/>
      <c r="EY17" s="63"/>
      <c r="EZ17" s="69"/>
      <c r="FA17" s="61"/>
      <c r="FB17" s="63"/>
      <c r="FC17" s="78"/>
    </row>
    <row r="18" spans="2:159" x14ac:dyDescent="0.25">
      <c r="B18" s="71"/>
      <c r="C18" s="69"/>
      <c r="D18" s="69"/>
      <c r="E18" s="61"/>
      <c r="F18" s="63"/>
      <c r="G18" s="69"/>
      <c r="H18" s="61"/>
      <c r="I18" s="63"/>
      <c r="J18" s="69"/>
      <c r="K18" s="61"/>
      <c r="L18" s="63"/>
      <c r="M18" s="69"/>
      <c r="N18" s="61"/>
      <c r="O18" s="63"/>
      <c r="P18" s="93"/>
      <c r="Q18" s="69"/>
      <c r="R18" s="61"/>
      <c r="S18" s="63"/>
      <c r="T18" s="69"/>
      <c r="U18" s="61"/>
      <c r="V18" s="63"/>
      <c r="W18" s="69"/>
      <c r="X18" s="61"/>
      <c r="Y18" s="63"/>
      <c r="Z18" s="69"/>
      <c r="AA18" s="61"/>
      <c r="AB18" s="63"/>
      <c r="AC18" s="93"/>
      <c r="AD18" s="69"/>
      <c r="AE18" s="61"/>
      <c r="AF18" s="63"/>
      <c r="AG18" s="69"/>
      <c r="AH18" s="61"/>
      <c r="AI18" s="63"/>
      <c r="AJ18" s="69"/>
      <c r="AK18" s="61"/>
      <c r="AL18" s="63"/>
      <c r="AM18" s="69"/>
      <c r="AN18" s="61"/>
      <c r="AO18" s="63"/>
      <c r="AP18" s="93"/>
      <c r="AQ18" s="69"/>
      <c r="AR18" s="61"/>
      <c r="AS18" s="63"/>
      <c r="AT18" s="69"/>
      <c r="AU18" s="61"/>
      <c r="AV18" s="63"/>
      <c r="AW18" s="69"/>
      <c r="AX18" s="61"/>
      <c r="AY18" s="63"/>
      <c r="AZ18" s="69"/>
      <c r="BA18" s="61"/>
      <c r="BB18" s="63"/>
      <c r="BC18" s="93"/>
      <c r="BD18" s="69"/>
      <c r="BE18" s="61"/>
      <c r="BF18" s="63"/>
      <c r="BG18" s="69"/>
      <c r="BH18" s="61"/>
      <c r="BI18" s="63"/>
      <c r="BJ18" s="69"/>
      <c r="BK18" s="61"/>
      <c r="BL18" s="63"/>
      <c r="BM18" s="69"/>
      <c r="BN18" s="61"/>
      <c r="BO18" s="63"/>
      <c r="BP18" s="93"/>
      <c r="BQ18" s="69"/>
      <c r="BR18" s="61"/>
      <c r="BS18" s="63"/>
      <c r="BT18" s="69"/>
      <c r="BU18" s="61"/>
      <c r="BV18" s="63"/>
      <c r="BW18" s="69"/>
      <c r="BX18" s="61"/>
      <c r="BY18" s="63"/>
      <c r="BZ18" s="69"/>
      <c r="CA18" s="61"/>
      <c r="CB18" s="63"/>
      <c r="CC18" s="93"/>
      <c r="CD18" s="69"/>
      <c r="CE18" s="61"/>
      <c r="CF18" s="63"/>
      <c r="CG18" s="69"/>
      <c r="CH18" s="61"/>
      <c r="CI18" s="63"/>
      <c r="CJ18" s="69"/>
      <c r="CK18" s="61"/>
      <c r="CL18" s="63"/>
      <c r="CM18" s="69"/>
      <c r="CN18" s="61"/>
      <c r="CO18" s="63"/>
      <c r="CP18" s="93"/>
      <c r="CQ18" s="69"/>
      <c r="CR18" s="61"/>
      <c r="CS18" s="63"/>
      <c r="CT18" s="69"/>
      <c r="CU18" s="61"/>
      <c r="CV18" s="63"/>
      <c r="CW18" s="69"/>
      <c r="CX18" s="61"/>
      <c r="CY18" s="63"/>
      <c r="CZ18" s="69"/>
      <c r="DA18" s="61"/>
      <c r="DB18" s="63"/>
      <c r="DC18" s="93"/>
      <c r="DD18" s="69"/>
      <c r="DE18" s="61"/>
      <c r="DF18" s="63"/>
      <c r="DG18" s="69"/>
      <c r="DH18" s="61"/>
      <c r="DI18" s="63"/>
      <c r="DJ18" s="69"/>
      <c r="DK18" s="61"/>
      <c r="DL18" s="63"/>
      <c r="DM18" s="69"/>
      <c r="DN18" s="61"/>
      <c r="DO18" s="63"/>
      <c r="DP18" s="93"/>
      <c r="DQ18" s="69"/>
      <c r="DR18" s="61"/>
      <c r="DS18" s="63"/>
      <c r="DT18" s="69"/>
      <c r="DU18" s="61"/>
      <c r="DV18" s="63"/>
      <c r="DW18" s="69"/>
      <c r="DX18" s="61"/>
      <c r="DY18" s="63"/>
      <c r="DZ18" s="69"/>
      <c r="EA18" s="61"/>
      <c r="EB18" s="63"/>
      <c r="EC18" s="93"/>
      <c r="ED18" s="69"/>
      <c r="EE18" s="61"/>
      <c r="EF18" s="63"/>
      <c r="EG18" s="69"/>
      <c r="EH18" s="61"/>
      <c r="EI18" s="63"/>
      <c r="EJ18" s="69"/>
      <c r="EK18" s="61"/>
      <c r="EL18" s="63"/>
      <c r="EM18" s="69"/>
      <c r="EN18" s="61"/>
      <c r="EO18" s="63"/>
      <c r="EP18" s="93"/>
      <c r="EQ18" s="69"/>
      <c r="ER18" s="61"/>
      <c r="ES18" s="63"/>
      <c r="ET18" s="69"/>
      <c r="EU18" s="61"/>
      <c r="EV18" s="63"/>
      <c r="EW18" s="69"/>
      <c r="EX18" s="61"/>
      <c r="EY18" s="63"/>
      <c r="EZ18" s="69"/>
      <c r="FA18" s="61"/>
      <c r="FB18" s="63"/>
      <c r="FC18" s="78"/>
    </row>
    <row r="19" spans="2:159" ht="15.75" thickBot="1" x14ac:dyDescent="0.3">
      <c r="B19" s="71"/>
      <c r="C19" s="69"/>
      <c r="D19" s="69"/>
      <c r="E19" s="64"/>
      <c r="F19" s="65"/>
      <c r="G19" s="69"/>
      <c r="H19" s="64"/>
      <c r="I19" s="65"/>
      <c r="J19" s="69"/>
      <c r="K19" s="64"/>
      <c r="L19" s="65"/>
      <c r="M19" s="69"/>
      <c r="N19" s="64"/>
      <c r="O19" s="65"/>
      <c r="P19" s="93"/>
      <c r="Q19" s="69"/>
      <c r="R19" s="64"/>
      <c r="S19" s="65"/>
      <c r="T19" s="69"/>
      <c r="U19" s="64"/>
      <c r="V19" s="65"/>
      <c r="W19" s="69"/>
      <c r="X19" s="64"/>
      <c r="Y19" s="65"/>
      <c r="Z19" s="69"/>
      <c r="AA19" s="64"/>
      <c r="AB19" s="65"/>
      <c r="AC19" s="93"/>
      <c r="AD19" s="69"/>
      <c r="AE19" s="64"/>
      <c r="AF19" s="65"/>
      <c r="AG19" s="69"/>
      <c r="AH19" s="64"/>
      <c r="AI19" s="65"/>
      <c r="AJ19" s="69"/>
      <c r="AK19" s="64"/>
      <c r="AL19" s="65"/>
      <c r="AM19" s="69"/>
      <c r="AN19" s="64"/>
      <c r="AO19" s="65"/>
      <c r="AP19" s="93"/>
      <c r="AQ19" s="69"/>
      <c r="AR19" s="64"/>
      <c r="AS19" s="65"/>
      <c r="AT19" s="69"/>
      <c r="AU19" s="64"/>
      <c r="AV19" s="65"/>
      <c r="AW19" s="69"/>
      <c r="AX19" s="64"/>
      <c r="AY19" s="65"/>
      <c r="AZ19" s="69"/>
      <c r="BA19" s="64"/>
      <c r="BB19" s="65"/>
      <c r="BC19" s="93"/>
      <c r="BD19" s="69"/>
      <c r="BE19" s="64"/>
      <c r="BF19" s="65"/>
      <c r="BG19" s="69"/>
      <c r="BH19" s="64"/>
      <c r="BI19" s="65"/>
      <c r="BJ19" s="69"/>
      <c r="BK19" s="64"/>
      <c r="BL19" s="65"/>
      <c r="BM19" s="69"/>
      <c r="BN19" s="64"/>
      <c r="BO19" s="65"/>
      <c r="BP19" s="93"/>
      <c r="BQ19" s="69"/>
      <c r="BR19" s="64"/>
      <c r="BS19" s="65"/>
      <c r="BT19" s="69"/>
      <c r="BU19" s="64"/>
      <c r="BV19" s="65"/>
      <c r="BW19" s="69"/>
      <c r="BX19" s="64"/>
      <c r="BY19" s="65"/>
      <c r="BZ19" s="69"/>
      <c r="CA19" s="64"/>
      <c r="CB19" s="65"/>
      <c r="CC19" s="93"/>
      <c r="CD19" s="69"/>
      <c r="CE19" s="64"/>
      <c r="CF19" s="65"/>
      <c r="CG19" s="69"/>
      <c r="CH19" s="64"/>
      <c r="CI19" s="65"/>
      <c r="CJ19" s="69"/>
      <c r="CK19" s="64"/>
      <c r="CL19" s="65"/>
      <c r="CM19" s="69"/>
      <c r="CN19" s="64"/>
      <c r="CO19" s="65"/>
      <c r="CP19" s="93"/>
      <c r="CQ19" s="69"/>
      <c r="CR19" s="64"/>
      <c r="CS19" s="65"/>
      <c r="CT19" s="69"/>
      <c r="CU19" s="64"/>
      <c r="CV19" s="65"/>
      <c r="CW19" s="69"/>
      <c r="CX19" s="64"/>
      <c r="CY19" s="65"/>
      <c r="CZ19" s="69"/>
      <c r="DA19" s="64"/>
      <c r="DB19" s="65"/>
      <c r="DC19" s="93"/>
      <c r="DD19" s="69"/>
      <c r="DE19" s="64"/>
      <c r="DF19" s="65"/>
      <c r="DG19" s="69"/>
      <c r="DH19" s="64"/>
      <c r="DI19" s="65"/>
      <c r="DJ19" s="69"/>
      <c r="DK19" s="64"/>
      <c r="DL19" s="65"/>
      <c r="DM19" s="69"/>
      <c r="DN19" s="64"/>
      <c r="DO19" s="65"/>
      <c r="DP19" s="93"/>
      <c r="DQ19" s="69"/>
      <c r="DR19" s="64"/>
      <c r="DS19" s="65"/>
      <c r="DT19" s="69"/>
      <c r="DU19" s="64"/>
      <c r="DV19" s="65"/>
      <c r="DW19" s="69"/>
      <c r="DX19" s="64"/>
      <c r="DY19" s="65"/>
      <c r="DZ19" s="69"/>
      <c r="EA19" s="64"/>
      <c r="EB19" s="65"/>
      <c r="EC19" s="93"/>
      <c r="ED19" s="69"/>
      <c r="EE19" s="64"/>
      <c r="EF19" s="65"/>
      <c r="EG19" s="69"/>
      <c r="EH19" s="64"/>
      <c r="EI19" s="65"/>
      <c r="EJ19" s="69"/>
      <c r="EK19" s="64"/>
      <c r="EL19" s="65"/>
      <c r="EM19" s="69"/>
      <c r="EN19" s="64"/>
      <c r="EO19" s="65"/>
      <c r="EP19" s="93"/>
      <c r="EQ19" s="69"/>
      <c r="ER19" s="64"/>
      <c r="ES19" s="65"/>
      <c r="ET19" s="69"/>
      <c r="EU19" s="64"/>
      <c r="EV19" s="65"/>
      <c r="EW19" s="69"/>
      <c r="EX19" s="64"/>
      <c r="EY19" s="65"/>
      <c r="EZ19" s="69"/>
      <c r="FA19" s="64"/>
      <c r="FB19" s="65"/>
      <c r="FC19" s="78"/>
    </row>
    <row r="20" spans="2:159" ht="15.75" thickBot="1" x14ac:dyDescent="0.3">
      <c r="B20" s="72"/>
      <c r="C20" s="70"/>
      <c r="D20" s="70"/>
      <c r="E20" s="70"/>
      <c r="F20" s="104"/>
      <c r="G20" s="70"/>
      <c r="H20" s="70"/>
      <c r="I20" s="104"/>
      <c r="J20" s="70"/>
      <c r="K20" s="70"/>
      <c r="L20" s="104"/>
      <c r="M20" s="70"/>
      <c r="N20" s="70"/>
      <c r="O20" s="104"/>
      <c r="P20" s="70"/>
      <c r="Q20" s="70"/>
      <c r="R20" s="70"/>
      <c r="S20" s="104"/>
      <c r="T20" s="70"/>
      <c r="U20" s="70"/>
      <c r="V20" s="104"/>
      <c r="W20" s="70"/>
      <c r="X20" s="70"/>
      <c r="Y20" s="104"/>
      <c r="Z20" s="70"/>
      <c r="AA20" s="70"/>
      <c r="AB20" s="104"/>
      <c r="AC20" s="70"/>
      <c r="AD20" s="70"/>
      <c r="AE20" s="70"/>
      <c r="AF20" s="104"/>
      <c r="AG20" s="70"/>
      <c r="AH20" s="70"/>
      <c r="AI20" s="104"/>
      <c r="AJ20" s="70"/>
      <c r="AK20" s="70"/>
      <c r="AL20" s="104"/>
      <c r="AM20" s="70"/>
      <c r="AN20" s="70"/>
      <c r="AO20" s="104"/>
      <c r="AP20" s="70"/>
      <c r="AQ20" s="70"/>
      <c r="AR20" s="70"/>
      <c r="AS20" s="104"/>
      <c r="AT20" s="70"/>
      <c r="AU20" s="70"/>
      <c r="AV20" s="104"/>
      <c r="AW20" s="70"/>
      <c r="AX20" s="70"/>
      <c r="AY20" s="104"/>
      <c r="AZ20" s="70"/>
      <c r="BA20" s="70"/>
      <c r="BB20" s="104"/>
      <c r="BC20" s="70"/>
      <c r="BD20" s="70"/>
      <c r="BE20" s="70"/>
      <c r="BF20" s="104"/>
      <c r="BG20" s="70"/>
      <c r="BH20" s="70"/>
      <c r="BI20" s="104"/>
      <c r="BJ20" s="70"/>
      <c r="BK20" s="70"/>
      <c r="BL20" s="104"/>
      <c r="BM20" s="70"/>
      <c r="BN20" s="70"/>
      <c r="BO20" s="104"/>
      <c r="BP20" s="70"/>
      <c r="BQ20" s="70"/>
      <c r="BR20" s="70"/>
      <c r="BS20" s="104"/>
      <c r="BT20" s="70"/>
      <c r="BU20" s="70"/>
      <c r="BV20" s="104"/>
      <c r="BW20" s="70"/>
      <c r="BX20" s="70"/>
      <c r="BY20" s="104"/>
      <c r="BZ20" s="70"/>
      <c r="CA20" s="70"/>
      <c r="CB20" s="104"/>
      <c r="CC20" s="70"/>
      <c r="CD20" s="70"/>
      <c r="CE20" s="70"/>
      <c r="CF20" s="104"/>
      <c r="CG20" s="70"/>
      <c r="CH20" s="70"/>
      <c r="CI20" s="104"/>
      <c r="CJ20" s="70"/>
      <c r="CK20" s="70"/>
      <c r="CL20" s="104"/>
      <c r="CM20" s="70"/>
      <c r="CN20" s="70"/>
      <c r="CO20" s="104"/>
      <c r="CP20" s="70"/>
      <c r="CQ20" s="70"/>
      <c r="CR20" s="70"/>
      <c r="CS20" s="104"/>
      <c r="CT20" s="70"/>
      <c r="CU20" s="70"/>
      <c r="CV20" s="104"/>
      <c r="CW20" s="70"/>
      <c r="CX20" s="70"/>
      <c r="CY20" s="104"/>
      <c r="CZ20" s="70"/>
      <c r="DA20" s="70"/>
      <c r="DB20" s="104"/>
      <c r="DC20" s="70"/>
      <c r="DD20" s="70"/>
      <c r="DE20" s="70"/>
      <c r="DF20" s="104"/>
      <c r="DG20" s="70"/>
      <c r="DH20" s="70"/>
      <c r="DI20" s="104"/>
      <c r="DJ20" s="70"/>
      <c r="DK20" s="70"/>
      <c r="DL20" s="104"/>
      <c r="DM20" s="70"/>
      <c r="DN20" s="70"/>
      <c r="DO20" s="104"/>
      <c r="DP20" s="70"/>
      <c r="DQ20" s="70"/>
      <c r="DR20" s="70"/>
      <c r="DS20" s="104"/>
      <c r="DT20" s="70"/>
      <c r="DU20" s="70"/>
      <c r="DV20" s="104"/>
      <c r="DW20" s="70"/>
      <c r="DX20" s="70"/>
      <c r="DY20" s="104"/>
      <c r="DZ20" s="70"/>
      <c r="EA20" s="70"/>
      <c r="EB20" s="104"/>
      <c r="EC20" s="70"/>
      <c r="ED20" s="70"/>
      <c r="EE20" s="70"/>
      <c r="EF20" s="104"/>
      <c r="EG20" s="70"/>
      <c r="EH20" s="70"/>
      <c r="EI20" s="104"/>
      <c r="EJ20" s="70"/>
      <c r="EK20" s="70"/>
      <c r="EL20" s="104"/>
      <c r="EM20" s="70"/>
      <c r="EN20" s="70"/>
      <c r="EO20" s="104"/>
      <c r="EP20" s="70"/>
      <c r="EQ20" s="70"/>
      <c r="ER20" s="70"/>
      <c r="ES20" s="104"/>
      <c r="ET20" s="70"/>
      <c r="EU20" s="70"/>
      <c r="EV20" s="104"/>
      <c r="EW20" s="70"/>
      <c r="EX20" s="70"/>
      <c r="EY20" s="104"/>
      <c r="EZ20" s="70"/>
      <c r="FA20" s="70"/>
      <c r="FB20" s="104"/>
      <c r="FC20" s="79"/>
    </row>
  </sheetData>
  <sheetProtection algorithmName="SHA-512" hashValue="TP7D5+vn/4Am6W34BA718dW+TOwIWmwN6N44+vR+mC14lTmOPV6Z0abawC0OVNjk3YSI77jbvOdoMvduxgMi8w==" saltValue="9qHefL3z4ewjyss3PR0vGg==" spinCount="100000" sheet="1" selectLockedCells="1"/>
  <mergeCells count="13">
    <mergeCell ref="B2:C2"/>
    <mergeCell ref="E2:O2"/>
    <mergeCell ref="R2:AB2"/>
    <mergeCell ref="AE2:AO2"/>
    <mergeCell ref="AR2:BB2"/>
    <mergeCell ref="DR2:EB2"/>
    <mergeCell ref="EE2:EO2"/>
    <mergeCell ref="ER2:FB2"/>
    <mergeCell ref="BE2:BO2"/>
    <mergeCell ref="BR2:CB2"/>
    <mergeCell ref="CE2:CO2"/>
    <mergeCell ref="CR2:DB2"/>
    <mergeCell ref="DE2:DO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99C2-FF8F-42C1-85B1-B6E047B124B9}">
  <sheetPr codeName="Sheet4">
    <tabColor theme="9" tint="0.39997558519241921"/>
  </sheetPr>
  <dimension ref="B1:FD30"/>
  <sheetViews>
    <sheetView zoomScale="177" zoomScaleNormal="80" workbookViewId="0">
      <selection activeCell="E5" sqref="E5"/>
    </sheetView>
  </sheetViews>
  <sheetFormatPr defaultColWidth="8.85546875" defaultRowHeight="15" x14ac:dyDescent="0.25"/>
  <cols>
    <col min="1" max="1" width="8.85546875" style="22"/>
    <col min="2" max="2" width="12.42578125" style="22" bestFit="1" customWidth="1"/>
    <col min="3" max="3" width="19.7109375" style="22" customWidth="1"/>
    <col min="4" max="4" width="8.85546875" style="22"/>
    <col min="5" max="5" width="9.7109375" style="22" customWidth="1"/>
    <col min="6" max="14" width="8.85546875" style="22"/>
    <col min="15" max="15" width="9.7109375" style="22" bestFit="1" customWidth="1"/>
    <col min="16" max="17" width="8.85546875" style="22"/>
    <col min="18" max="18" width="9.7109375" style="22" bestFit="1" customWidth="1"/>
    <col min="19" max="19" width="10.7109375" style="22" bestFit="1" customWidth="1"/>
    <col min="20" max="20" width="8.85546875" style="22"/>
    <col min="21" max="22" width="10.7109375" style="22" bestFit="1" customWidth="1"/>
    <col min="23" max="23" width="8.85546875" style="22"/>
    <col min="24" max="25" width="10.7109375" style="22" bestFit="1" customWidth="1"/>
    <col min="26" max="27" width="8.85546875" style="22"/>
    <col min="28" max="29" width="10.7109375" style="22" bestFit="1" customWidth="1"/>
    <col min="30" max="30" width="8.85546875" style="22"/>
    <col min="31" max="32" width="10.7109375" style="22" bestFit="1" customWidth="1"/>
    <col min="33" max="34" width="8.85546875" style="22"/>
    <col min="35" max="35" width="10.7109375" style="22" bestFit="1" customWidth="1"/>
    <col min="36" max="36" width="9.7109375" style="22" bestFit="1" customWidth="1"/>
    <col min="37" max="37" width="8.85546875" style="22"/>
    <col min="38" max="39" width="10.7109375" style="22" bestFit="1" customWidth="1"/>
    <col min="40" max="16384" width="8.85546875" style="22"/>
  </cols>
  <sheetData>
    <row r="1" spans="2:160" ht="15.75" thickBot="1" x14ac:dyDescent="0.3"/>
    <row r="2" spans="2:160" s="28" customFormat="1" ht="24" thickBot="1" x14ac:dyDescent="0.4">
      <c r="B2" s="166" t="s">
        <v>20</v>
      </c>
      <c r="C2" s="167"/>
      <c r="D2" s="76"/>
      <c r="E2" s="160" t="s">
        <v>95</v>
      </c>
      <c r="F2" s="161"/>
      <c r="G2" s="161"/>
      <c r="H2" s="161"/>
      <c r="I2" s="161"/>
      <c r="J2" s="161"/>
      <c r="K2" s="161"/>
      <c r="L2" s="161"/>
      <c r="M2" s="161"/>
      <c r="N2" s="161"/>
      <c r="O2" s="162"/>
      <c r="P2" s="75"/>
      <c r="Q2" s="75"/>
      <c r="R2" s="160" t="s">
        <v>96</v>
      </c>
      <c r="S2" s="161"/>
      <c r="T2" s="161"/>
      <c r="U2" s="161"/>
      <c r="V2" s="161"/>
      <c r="W2" s="161"/>
      <c r="X2" s="161"/>
      <c r="Y2" s="161"/>
      <c r="Z2" s="161"/>
      <c r="AA2" s="161"/>
      <c r="AB2" s="162"/>
      <c r="AC2" s="75"/>
      <c r="AD2" s="75"/>
      <c r="AE2" s="160" t="s">
        <v>97</v>
      </c>
      <c r="AF2" s="161"/>
      <c r="AG2" s="161"/>
      <c r="AH2" s="161"/>
      <c r="AI2" s="161"/>
      <c r="AJ2" s="161"/>
      <c r="AK2" s="161"/>
      <c r="AL2" s="161"/>
      <c r="AM2" s="161"/>
      <c r="AN2" s="161"/>
      <c r="AO2" s="162"/>
      <c r="AP2" s="75"/>
      <c r="AQ2" s="75"/>
      <c r="AR2" s="160" t="s">
        <v>98</v>
      </c>
      <c r="AS2" s="161"/>
      <c r="AT2" s="161"/>
      <c r="AU2" s="161"/>
      <c r="AV2" s="161"/>
      <c r="AW2" s="161"/>
      <c r="AX2" s="161"/>
      <c r="AY2" s="161"/>
      <c r="AZ2" s="161"/>
      <c r="BA2" s="161"/>
      <c r="BB2" s="162"/>
      <c r="BC2" s="75"/>
      <c r="BD2" s="75"/>
      <c r="BE2" s="160" t="s">
        <v>99</v>
      </c>
      <c r="BF2" s="161"/>
      <c r="BG2" s="161"/>
      <c r="BH2" s="161"/>
      <c r="BI2" s="161"/>
      <c r="BJ2" s="161"/>
      <c r="BK2" s="161"/>
      <c r="BL2" s="161"/>
      <c r="BM2" s="161"/>
      <c r="BN2" s="161"/>
      <c r="BO2" s="162"/>
      <c r="BP2" s="75"/>
      <c r="BQ2" s="75"/>
      <c r="BR2" s="160" t="s">
        <v>100</v>
      </c>
      <c r="BS2" s="161"/>
      <c r="BT2" s="161"/>
      <c r="BU2" s="161"/>
      <c r="BV2" s="161"/>
      <c r="BW2" s="161"/>
      <c r="BX2" s="161"/>
      <c r="BY2" s="161"/>
      <c r="BZ2" s="161"/>
      <c r="CA2" s="161"/>
      <c r="CB2" s="162"/>
      <c r="CC2" s="75"/>
      <c r="CD2" s="75"/>
      <c r="CE2" s="160" t="s">
        <v>101</v>
      </c>
      <c r="CF2" s="161"/>
      <c r="CG2" s="161"/>
      <c r="CH2" s="161"/>
      <c r="CI2" s="161"/>
      <c r="CJ2" s="161"/>
      <c r="CK2" s="161"/>
      <c r="CL2" s="161"/>
      <c r="CM2" s="161"/>
      <c r="CN2" s="161"/>
      <c r="CO2" s="162"/>
      <c r="CP2" s="75"/>
      <c r="CQ2" s="75"/>
      <c r="CR2" s="160" t="s">
        <v>102</v>
      </c>
      <c r="CS2" s="161"/>
      <c r="CT2" s="161"/>
      <c r="CU2" s="161"/>
      <c r="CV2" s="161"/>
      <c r="CW2" s="161"/>
      <c r="CX2" s="161"/>
      <c r="CY2" s="161"/>
      <c r="CZ2" s="161"/>
      <c r="DA2" s="161"/>
      <c r="DB2" s="162"/>
      <c r="DC2" s="75"/>
      <c r="DD2" s="75"/>
      <c r="DE2" s="160" t="s">
        <v>22</v>
      </c>
      <c r="DF2" s="161"/>
      <c r="DG2" s="161"/>
      <c r="DH2" s="161"/>
      <c r="DI2" s="161"/>
      <c r="DJ2" s="161"/>
      <c r="DK2" s="161"/>
      <c r="DL2" s="161"/>
      <c r="DM2" s="161"/>
      <c r="DN2" s="161"/>
      <c r="DO2" s="162"/>
      <c r="DP2" s="75"/>
      <c r="DQ2" s="75"/>
      <c r="DR2" s="160" t="s">
        <v>0</v>
      </c>
      <c r="DS2" s="161"/>
      <c r="DT2" s="161"/>
      <c r="DU2" s="161"/>
      <c r="DV2" s="161"/>
      <c r="DW2" s="161"/>
      <c r="DX2" s="161"/>
      <c r="DY2" s="161"/>
      <c r="DZ2" s="161"/>
      <c r="EA2" s="161"/>
      <c r="EB2" s="162"/>
      <c r="EC2" s="75"/>
      <c r="ED2" s="75"/>
      <c r="EE2" s="160" t="s">
        <v>2</v>
      </c>
      <c r="EF2" s="161"/>
      <c r="EG2" s="161"/>
      <c r="EH2" s="161"/>
      <c r="EI2" s="161"/>
      <c r="EJ2" s="161"/>
      <c r="EK2" s="161"/>
      <c r="EL2" s="161"/>
      <c r="EM2" s="161"/>
      <c r="EN2" s="161"/>
      <c r="EO2" s="162"/>
      <c r="EP2" s="75"/>
      <c r="EQ2" s="75"/>
      <c r="ER2" s="160" t="s">
        <v>34</v>
      </c>
      <c r="ES2" s="161"/>
      <c r="ET2" s="161"/>
      <c r="EU2" s="161"/>
      <c r="EV2" s="161"/>
      <c r="EW2" s="161"/>
      <c r="EX2" s="161"/>
      <c r="EY2" s="161"/>
      <c r="EZ2" s="161"/>
      <c r="FA2" s="161"/>
      <c r="FB2" s="162"/>
      <c r="FC2" s="27"/>
      <c r="FD2" s="27"/>
    </row>
    <row r="3" spans="2:160" ht="15.75" thickBot="1" x14ac:dyDescent="0.3">
      <c r="B3" s="95" t="s">
        <v>35</v>
      </c>
      <c r="C3" s="114">
        <f>IFERROR(AVERAGE(9:9),"")</f>
        <v>171</v>
      </c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  <c r="DE3" s="69"/>
      <c r="DF3" s="69"/>
      <c r="DG3" s="69"/>
      <c r="DH3" s="69"/>
      <c r="DI3" s="69"/>
      <c r="DJ3" s="69"/>
      <c r="DK3" s="69"/>
      <c r="DL3" s="69"/>
      <c r="DM3" s="69"/>
      <c r="DN3" s="69"/>
      <c r="DO3" s="69"/>
      <c r="DP3" s="69"/>
      <c r="DQ3" s="69"/>
      <c r="DR3" s="69"/>
      <c r="DS3" s="69"/>
      <c r="DT3" s="69"/>
      <c r="DU3" s="69"/>
      <c r="DV3" s="69"/>
      <c r="DW3" s="69"/>
      <c r="DX3" s="69"/>
      <c r="DY3" s="69"/>
      <c r="DZ3" s="69"/>
      <c r="EA3" s="69"/>
      <c r="EB3" s="69"/>
      <c r="EC3" s="69"/>
      <c r="ED3" s="69"/>
      <c r="EE3" s="69"/>
      <c r="EF3" s="69"/>
      <c r="EG3" s="69"/>
      <c r="EH3" s="69"/>
      <c r="EI3" s="69"/>
      <c r="EJ3" s="69"/>
      <c r="EK3" s="69"/>
      <c r="EL3" s="69"/>
      <c r="EM3" s="69"/>
      <c r="EN3" s="69"/>
      <c r="EO3" s="69"/>
      <c r="EP3" s="69"/>
      <c r="EQ3" s="69"/>
      <c r="ER3" s="69"/>
      <c r="ES3" s="69"/>
      <c r="ET3" s="69"/>
      <c r="EU3" s="69"/>
      <c r="EV3" s="69"/>
      <c r="EW3" s="69"/>
      <c r="EX3" s="69"/>
      <c r="EY3" s="69"/>
      <c r="EZ3" s="69"/>
      <c r="FA3" s="69"/>
      <c r="FB3" s="78"/>
    </row>
    <row r="4" spans="2:160" ht="21.75" thickBot="1" x14ac:dyDescent="0.4">
      <c r="B4" s="210" t="s">
        <v>7</v>
      </c>
      <c r="C4" s="211"/>
      <c r="D4" s="19"/>
      <c r="E4" s="13"/>
      <c r="F4" s="13"/>
      <c r="G4" s="12"/>
      <c r="H4" s="13"/>
      <c r="I4" s="13"/>
      <c r="J4" s="13"/>
      <c r="K4" s="13"/>
      <c r="L4" s="13"/>
      <c r="M4" s="13"/>
      <c r="N4" s="13"/>
      <c r="O4" s="13"/>
      <c r="P4" s="12"/>
      <c r="Q4" s="12"/>
      <c r="R4" s="13"/>
      <c r="S4" s="13"/>
      <c r="T4" s="12"/>
      <c r="U4" s="13"/>
      <c r="V4" s="13"/>
      <c r="W4" s="13"/>
      <c r="X4" s="13"/>
      <c r="Y4" s="13"/>
      <c r="Z4" s="13"/>
      <c r="AA4" s="13"/>
      <c r="AB4" s="13"/>
      <c r="AC4" s="12"/>
      <c r="AD4" s="12"/>
      <c r="AE4" s="13"/>
      <c r="AF4" s="13"/>
      <c r="AG4" s="12"/>
      <c r="AH4" s="13"/>
      <c r="AI4" s="13"/>
      <c r="AJ4" s="13"/>
      <c r="AK4" s="13"/>
      <c r="AL4" s="13"/>
      <c r="AM4" s="13"/>
      <c r="AN4" s="13"/>
      <c r="AO4" s="13"/>
      <c r="AP4" s="12"/>
      <c r="AQ4" s="12"/>
      <c r="AR4" s="13"/>
      <c r="AS4" s="13"/>
      <c r="AT4" s="12"/>
      <c r="AU4" s="13"/>
      <c r="AV4" s="13"/>
      <c r="AW4" s="13"/>
      <c r="AX4" s="13"/>
      <c r="AY4" s="13"/>
      <c r="AZ4" s="13"/>
      <c r="BA4" s="13"/>
      <c r="BB4" s="13"/>
      <c r="BC4" s="12"/>
      <c r="BD4" s="12"/>
      <c r="BE4" s="13"/>
      <c r="BF4" s="13"/>
      <c r="BG4" s="12"/>
      <c r="BH4" s="13"/>
      <c r="BI4" s="13"/>
      <c r="BJ4" s="13"/>
      <c r="BK4" s="13"/>
      <c r="BL4" s="13"/>
      <c r="BM4" s="13"/>
      <c r="BN4" s="13"/>
      <c r="BO4" s="13"/>
      <c r="BP4" s="12"/>
      <c r="BQ4" s="12"/>
      <c r="BR4" s="13"/>
      <c r="BS4" s="13"/>
      <c r="BT4" s="12"/>
      <c r="BU4" s="13"/>
      <c r="BV4" s="13"/>
      <c r="BW4" s="13"/>
      <c r="BX4" s="13"/>
      <c r="BY4" s="13"/>
      <c r="BZ4" s="13"/>
      <c r="CA4" s="13"/>
      <c r="CB4" s="13"/>
      <c r="CC4" s="12"/>
      <c r="CD4" s="12"/>
      <c r="CE4" s="13"/>
      <c r="CF4" s="13"/>
      <c r="CG4" s="12"/>
      <c r="CH4" s="13"/>
      <c r="CI4" s="13"/>
      <c r="CJ4" s="13"/>
      <c r="CK4" s="13"/>
      <c r="CL4" s="13"/>
      <c r="CM4" s="13"/>
      <c r="CN4" s="13"/>
      <c r="CO4" s="13"/>
      <c r="CP4" s="12"/>
      <c r="CQ4" s="12"/>
      <c r="CR4" s="13"/>
      <c r="CS4" s="13"/>
      <c r="CT4" s="12"/>
      <c r="CU4" s="13"/>
      <c r="CV4" s="13"/>
      <c r="CW4" s="13"/>
      <c r="CX4" s="13"/>
      <c r="CY4" s="13"/>
      <c r="CZ4" s="13"/>
      <c r="DA4" s="13"/>
      <c r="DB4" s="13"/>
      <c r="DC4" s="12"/>
      <c r="DD4" s="12"/>
      <c r="DE4" s="13"/>
      <c r="DF4" s="13"/>
      <c r="DG4" s="12"/>
      <c r="DH4" s="13"/>
      <c r="DI4" s="13"/>
      <c r="DJ4" s="13"/>
      <c r="DK4" s="13"/>
      <c r="DL4" s="13"/>
      <c r="DM4" s="13"/>
      <c r="DN4" s="13"/>
      <c r="DO4" s="13"/>
      <c r="DP4" s="12"/>
      <c r="DQ4" s="12"/>
      <c r="DR4" s="13"/>
      <c r="DS4" s="13"/>
      <c r="DT4" s="12"/>
      <c r="DU4" s="13"/>
      <c r="DV4" s="13"/>
      <c r="DW4" s="13"/>
      <c r="DX4" s="13"/>
      <c r="DY4" s="13"/>
      <c r="DZ4" s="13"/>
      <c r="EA4" s="13"/>
      <c r="EB4" s="13"/>
      <c r="EC4" s="12"/>
      <c r="ED4" s="12"/>
      <c r="EE4" s="13"/>
      <c r="EF4" s="13"/>
      <c r="EG4" s="12"/>
      <c r="EH4" s="13"/>
      <c r="EI4" s="13"/>
      <c r="EJ4" s="13"/>
      <c r="EK4" s="13"/>
      <c r="EL4" s="13"/>
      <c r="EM4" s="13"/>
      <c r="EN4" s="13"/>
      <c r="EO4" s="13"/>
      <c r="EP4" s="12"/>
      <c r="EQ4" s="12"/>
      <c r="ER4" s="13"/>
      <c r="ES4" s="13"/>
      <c r="ET4" s="12"/>
      <c r="EU4" s="13"/>
      <c r="EV4" s="13"/>
      <c r="EW4" s="13"/>
      <c r="EX4" s="13"/>
      <c r="EY4" s="13"/>
      <c r="EZ4" s="13"/>
      <c r="FA4" s="13"/>
      <c r="FB4" s="29"/>
    </row>
    <row r="5" spans="2:160" ht="16.5" thickTop="1" thickBot="1" x14ac:dyDescent="0.3">
      <c r="B5" s="157" t="s">
        <v>5</v>
      </c>
      <c r="C5" s="158"/>
      <c r="D5" s="73"/>
      <c r="E5" s="66">
        <v>43462</v>
      </c>
      <c r="F5" s="67">
        <v>43470</v>
      </c>
      <c r="G5" s="116"/>
      <c r="H5" s="66"/>
      <c r="I5" s="67"/>
      <c r="J5" s="116"/>
      <c r="K5" s="66"/>
      <c r="L5" s="67"/>
      <c r="M5" s="116"/>
      <c r="N5" s="66"/>
      <c r="O5" s="67"/>
      <c r="P5" s="115"/>
      <c r="Q5" s="69"/>
      <c r="R5" s="66"/>
      <c r="S5" s="67"/>
      <c r="T5" s="116"/>
      <c r="U5" s="66"/>
      <c r="V5" s="67"/>
      <c r="W5" s="116"/>
      <c r="X5" s="66"/>
      <c r="Y5" s="67"/>
      <c r="Z5" s="116"/>
      <c r="AA5" s="66"/>
      <c r="AB5" s="67"/>
      <c r="AC5" s="115"/>
      <c r="AD5" s="69"/>
      <c r="AE5" s="66"/>
      <c r="AF5" s="67"/>
      <c r="AG5" s="116"/>
      <c r="AH5" s="66"/>
      <c r="AI5" s="67"/>
      <c r="AJ5" s="116"/>
      <c r="AK5" s="66"/>
      <c r="AL5" s="67"/>
      <c r="AM5" s="116"/>
      <c r="AN5" s="66"/>
      <c r="AO5" s="67"/>
      <c r="AP5" s="115"/>
      <c r="AQ5" s="69"/>
      <c r="AR5" s="66"/>
      <c r="AS5" s="67"/>
      <c r="AT5" s="116"/>
      <c r="AU5" s="66"/>
      <c r="AV5" s="67"/>
      <c r="AW5" s="116"/>
      <c r="AX5" s="66"/>
      <c r="AY5" s="67"/>
      <c r="AZ5" s="116"/>
      <c r="BA5" s="66"/>
      <c r="BB5" s="67"/>
      <c r="BC5" s="115"/>
      <c r="BD5" s="69"/>
      <c r="BE5" s="66"/>
      <c r="BF5" s="67"/>
      <c r="BG5" s="116"/>
      <c r="BH5" s="66"/>
      <c r="BI5" s="67"/>
      <c r="BJ5" s="116"/>
      <c r="BK5" s="66"/>
      <c r="BL5" s="67"/>
      <c r="BM5" s="116"/>
      <c r="BN5" s="66"/>
      <c r="BO5" s="67"/>
      <c r="BP5" s="115"/>
      <c r="BQ5" s="69"/>
      <c r="BR5" s="66"/>
      <c r="BS5" s="67"/>
      <c r="BT5" s="116"/>
      <c r="BU5" s="66"/>
      <c r="BV5" s="67"/>
      <c r="BW5" s="116"/>
      <c r="BX5" s="66"/>
      <c r="BY5" s="67"/>
      <c r="BZ5" s="116"/>
      <c r="CA5" s="66"/>
      <c r="CB5" s="67"/>
      <c r="CC5" s="115"/>
      <c r="CD5" s="69"/>
      <c r="CE5" s="66"/>
      <c r="CF5" s="67"/>
      <c r="CG5" s="116"/>
      <c r="CH5" s="66"/>
      <c r="CI5" s="67"/>
      <c r="CJ5" s="116"/>
      <c r="CK5" s="66"/>
      <c r="CL5" s="67"/>
      <c r="CM5" s="116"/>
      <c r="CN5" s="66"/>
      <c r="CO5" s="67"/>
      <c r="CP5" s="115"/>
      <c r="CQ5" s="69"/>
      <c r="CR5" s="66"/>
      <c r="CS5" s="67"/>
      <c r="CT5" s="116"/>
      <c r="CU5" s="66"/>
      <c r="CV5" s="67"/>
      <c r="CW5" s="116"/>
      <c r="CX5" s="66"/>
      <c r="CY5" s="67"/>
      <c r="CZ5" s="116"/>
      <c r="DA5" s="66"/>
      <c r="DB5" s="67"/>
      <c r="DC5" s="115"/>
      <c r="DD5" s="69"/>
      <c r="DE5" s="66"/>
      <c r="DF5" s="67"/>
      <c r="DG5" s="116"/>
      <c r="DH5" s="66"/>
      <c r="DI5" s="67"/>
      <c r="DJ5" s="116"/>
      <c r="DK5" s="66"/>
      <c r="DL5" s="67"/>
      <c r="DM5" s="116"/>
      <c r="DN5" s="66"/>
      <c r="DO5" s="67"/>
      <c r="DP5" s="115"/>
      <c r="DQ5" s="69"/>
      <c r="DR5" s="66"/>
      <c r="DS5" s="67"/>
      <c r="DT5" s="116"/>
      <c r="DU5" s="66"/>
      <c r="DV5" s="67"/>
      <c r="DW5" s="116"/>
      <c r="DX5" s="66"/>
      <c r="DY5" s="67"/>
      <c r="DZ5" s="116"/>
      <c r="EA5" s="66"/>
      <c r="EB5" s="67"/>
      <c r="EC5" s="115"/>
      <c r="ED5" s="69"/>
      <c r="EE5" s="66"/>
      <c r="EF5" s="67"/>
      <c r="EG5" s="116"/>
      <c r="EH5" s="66"/>
      <c r="EI5" s="67"/>
      <c r="EJ5" s="116"/>
      <c r="EK5" s="66"/>
      <c r="EL5" s="67"/>
      <c r="EM5" s="116"/>
      <c r="EN5" s="66"/>
      <c r="EO5" s="67"/>
      <c r="EP5" s="115"/>
      <c r="EQ5" s="69"/>
      <c r="ER5" s="66"/>
      <c r="ES5" s="67"/>
      <c r="ET5" s="116"/>
      <c r="EU5" s="66"/>
      <c r="EV5" s="67"/>
      <c r="EW5" s="116"/>
      <c r="EX5" s="66"/>
      <c r="EY5" s="67"/>
      <c r="EZ5" s="116"/>
      <c r="FA5" s="66"/>
      <c r="FB5" s="67"/>
    </row>
    <row r="6" spans="2:160" x14ac:dyDescent="0.25">
      <c r="B6" s="157" t="s">
        <v>3</v>
      </c>
      <c r="C6" s="158"/>
      <c r="D6" s="73"/>
      <c r="E6" s="208">
        <f>SUM('Clocked Hours'!F6:F19)</f>
        <v>19</v>
      </c>
      <c r="F6" s="209"/>
      <c r="G6" s="117"/>
      <c r="H6" s="208">
        <f>SUM('Clocked Hours'!I6:I19)</f>
        <v>0</v>
      </c>
      <c r="I6" s="209"/>
      <c r="J6" s="117"/>
      <c r="K6" s="208">
        <f>SUM('Clocked Hours'!L6:L19)</f>
        <v>0</v>
      </c>
      <c r="L6" s="209"/>
      <c r="M6" s="117"/>
      <c r="N6" s="208">
        <f>SUM('Clocked Hours'!O6:O19)</f>
        <v>0</v>
      </c>
      <c r="O6" s="209"/>
      <c r="P6" s="93"/>
      <c r="Q6" s="69"/>
      <c r="R6" s="208">
        <f>SUM('Clocked Hours'!S6:S19)</f>
        <v>0</v>
      </c>
      <c r="S6" s="209"/>
      <c r="T6" s="117"/>
      <c r="U6" s="208">
        <f>SUM('Clocked Hours'!V6:V19)</f>
        <v>0</v>
      </c>
      <c r="V6" s="209"/>
      <c r="W6" s="117"/>
      <c r="X6" s="208">
        <f>SUM('Clocked Hours'!Y6:Y19)</f>
        <v>0</v>
      </c>
      <c r="Y6" s="209"/>
      <c r="Z6" s="117"/>
      <c r="AA6" s="208">
        <f>SUM('Clocked Hours'!AB6:AB19)</f>
        <v>0</v>
      </c>
      <c r="AB6" s="209"/>
      <c r="AC6" s="93"/>
      <c r="AD6" s="69"/>
      <c r="AE6" s="208">
        <f>SUM('Clocked Hours'!AF6:AF19)</f>
        <v>0</v>
      </c>
      <c r="AF6" s="209"/>
      <c r="AG6" s="117"/>
      <c r="AH6" s="208">
        <f>SUM('Clocked Hours'!AI6:AI19)</f>
        <v>0</v>
      </c>
      <c r="AI6" s="209"/>
      <c r="AJ6" s="117"/>
      <c r="AK6" s="208">
        <f>SUM('Clocked Hours'!AL6:AL19)</f>
        <v>0</v>
      </c>
      <c r="AL6" s="209"/>
      <c r="AM6" s="117"/>
      <c r="AN6" s="208">
        <f>SUM('Clocked Hours'!AO6:AO19)</f>
        <v>0</v>
      </c>
      <c r="AO6" s="209"/>
      <c r="AP6" s="93"/>
      <c r="AQ6" s="69"/>
      <c r="AR6" s="208">
        <f>SUM('Clocked Hours'!AS6:AS19)</f>
        <v>0</v>
      </c>
      <c r="AS6" s="209"/>
      <c r="AT6" s="117"/>
      <c r="AU6" s="208">
        <f>SUM('Clocked Hours'!AV6:AV19)</f>
        <v>0</v>
      </c>
      <c r="AV6" s="209"/>
      <c r="AW6" s="117"/>
      <c r="AX6" s="208">
        <f>SUM('Clocked Hours'!AY6:AY19)</f>
        <v>0</v>
      </c>
      <c r="AY6" s="209"/>
      <c r="AZ6" s="117"/>
      <c r="BA6" s="208">
        <f>SUM('Clocked Hours'!BB6:BB19)</f>
        <v>0</v>
      </c>
      <c r="BB6" s="209"/>
      <c r="BC6" s="93"/>
      <c r="BD6" s="69"/>
      <c r="BE6" s="208">
        <f>SUM('Clocked Hours'!BF6:BF19)</f>
        <v>0</v>
      </c>
      <c r="BF6" s="209"/>
      <c r="BG6" s="117"/>
      <c r="BH6" s="208">
        <f>SUM('Clocked Hours'!BI6:BI19)</f>
        <v>0</v>
      </c>
      <c r="BI6" s="209"/>
      <c r="BJ6" s="117"/>
      <c r="BK6" s="208">
        <f>SUM('Clocked Hours'!BL6:BL19)</f>
        <v>0</v>
      </c>
      <c r="BL6" s="209"/>
      <c r="BM6" s="117"/>
      <c r="BN6" s="208">
        <f>SUM('Clocked Hours'!BO6:BO19)</f>
        <v>0</v>
      </c>
      <c r="BO6" s="209"/>
      <c r="BP6" s="93"/>
      <c r="BQ6" s="69"/>
      <c r="BR6" s="208">
        <f>SUM('Clocked Hours'!BS6:BS19)</f>
        <v>0</v>
      </c>
      <c r="BS6" s="209"/>
      <c r="BT6" s="117"/>
      <c r="BU6" s="208">
        <f>SUM('Clocked Hours'!BV6:BV19)</f>
        <v>0</v>
      </c>
      <c r="BV6" s="209"/>
      <c r="BW6" s="117"/>
      <c r="BX6" s="208">
        <f>SUM('Clocked Hours'!BY6:BY19)</f>
        <v>0</v>
      </c>
      <c r="BY6" s="209"/>
      <c r="BZ6" s="117"/>
      <c r="CA6" s="208">
        <f>SUM('Clocked Hours'!CB6:CB19)</f>
        <v>0</v>
      </c>
      <c r="CB6" s="209"/>
      <c r="CC6" s="93"/>
      <c r="CD6" s="69"/>
      <c r="CE6" s="208">
        <f>SUM('Clocked Hours'!CF6:CF19)</f>
        <v>0</v>
      </c>
      <c r="CF6" s="209"/>
      <c r="CG6" s="117"/>
      <c r="CH6" s="208">
        <f>SUM('Clocked Hours'!CI6:CI19)</f>
        <v>0</v>
      </c>
      <c r="CI6" s="209"/>
      <c r="CJ6" s="117"/>
      <c r="CK6" s="208">
        <f>SUM('Clocked Hours'!CL6:CL19)</f>
        <v>0</v>
      </c>
      <c r="CL6" s="209"/>
      <c r="CM6" s="117"/>
      <c r="CN6" s="208">
        <f>SUM('Clocked Hours'!CO6:CO19)</f>
        <v>0</v>
      </c>
      <c r="CO6" s="209"/>
      <c r="CP6" s="93"/>
      <c r="CQ6" s="69"/>
      <c r="CR6" s="208">
        <f>SUM('Clocked Hours'!CS6:CS19)</f>
        <v>0</v>
      </c>
      <c r="CS6" s="209"/>
      <c r="CT6" s="117"/>
      <c r="CU6" s="208">
        <f>SUM('Clocked Hours'!CV6:CV19)</f>
        <v>0</v>
      </c>
      <c r="CV6" s="209"/>
      <c r="CW6" s="117"/>
      <c r="CX6" s="208">
        <f>SUM('Clocked Hours'!CY6:CY19)</f>
        <v>0</v>
      </c>
      <c r="CY6" s="209"/>
      <c r="CZ6" s="117"/>
      <c r="DA6" s="208">
        <f>SUM('Clocked Hours'!DB6:DB19)</f>
        <v>0</v>
      </c>
      <c r="DB6" s="209"/>
      <c r="DC6" s="93"/>
      <c r="DD6" s="69"/>
      <c r="DE6" s="208">
        <f>SUM('Clocked Hours'!DF6:DF19)</f>
        <v>0</v>
      </c>
      <c r="DF6" s="209"/>
      <c r="DG6" s="117"/>
      <c r="DH6" s="208">
        <f>SUM('Clocked Hours'!DI6:DI19)</f>
        <v>0</v>
      </c>
      <c r="DI6" s="209"/>
      <c r="DJ6" s="117"/>
      <c r="DK6" s="208">
        <f>SUM('Clocked Hours'!DL6:DL19)</f>
        <v>0</v>
      </c>
      <c r="DL6" s="209"/>
      <c r="DM6" s="117"/>
      <c r="DN6" s="208">
        <f>SUM('Clocked Hours'!DO6:DO19)</f>
        <v>0</v>
      </c>
      <c r="DO6" s="209"/>
      <c r="DP6" s="93"/>
      <c r="DQ6" s="69"/>
      <c r="DR6" s="208">
        <f>SUM('Clocked Hours'!DS6:DS19)</f>
        <v>0</v>
      </c>
      <c r="DS6" s="209"/>
      <c r="DT6" s="117"/>
      <c r="DU6" s="208">
        <f>SUM('Clocked Hours'!DV6:DV19)</f>
        <v>0</v>
      </c>
      <c r="DV6" s="209"/>
      <c r="DW6" s="117"/>
      <c r="DX6" s="208">
        <f>SUM('Clocked Hours'!DY6:DY19)</f>
        <v>0</v>
      </c>
      <c r="DY6" s="209"/>
      <c r="DZ6" s="117"/>
      <c r="EA6" s="208">
        <f>SUM('Clocked Hours'!EB6:EB19)</f>
        <v>0</v>
      </c>
      <c r="EB6" s="209"/>
      <c r="EC6" s="93"/>
      <c r="ED6" s="69"/>
      <c r="EE6" s="208">
        <f>SUM('Clocked Hours'!EF6:EF19)</f>
        <v>0</v>
      </c>
      <c r="EF6" s="209"/>
      <c r="EG6" s="117"/>
      <c r="EH6" s="208">
        <f>SUM('Clocked Hours'!EI6:EI19)</f>
        <v>0</v>
      </c>
      <c r="EI6" s="209"/>
      <c r="EJ6" s="117"/>
      <c r="EK6" s="208">
        <f>SUM('Clocked Hours'!EL6:EL19)</f>
        <v>0</v>
      </c>
      <c r="EL6" s="209"/>
      <c r="EM6" s="117"/>
      <c r="EN6" s="208">
        <f>SUM('Clocked Hours'!EO6:EO19)</f>
        <v>0</v>
      </c>
      <c r="EO6" s="209"/>
      <c r="EP6" s="93"/>
      <c r="EQ6" s="69"/>
      <c r="ER6" s="208">
        <f>SUM('Clocked Hours'!ES6:ES19)</f>
        <v>0</v>
      </c>
      <c r="ES6" s="209"/>
      <c r="ET6" s="117"/>
      <c r="EU6" s="208">
        <f>SUM('Clocked Hours'!EV6:EV19)</f>
        <v>0</v>
      </c>
      <c r="EV6" s="209"/>
      <c r="EW6" s="117"/>
      <c r="EX6" s="208">
        <f>SUM('Clocked Hours'!EY6:EY19)</f>
        <v>0</v>
      </c>
      <c r="EY6" s="209"/>
      <c r="EZ6" s="117"/>
      <c r="FA6" s="208">
        <f>SUM('Clocked Hours'!FB6:FB19)</f>
        <v>0</v>
      </c>
      <c r="FB6" s="209"/>
    </row>
    <row r="7" spans="2:160" x14ac:dyDescent="0.25">
      <c r="B7" s="157" t="s">
        <v>10</v>
      </c>
      <c r="C7" s="158"/>
      <c r="D7" s="73"/>
      <c r="E7" s="206">
        <v>9</v>
      </c>
      <c r="F7" s="207"/>
      <c r="G7" s="118"/>
      <c r="H7" s="206">
        <v>3</v>
      </c>
      <c r="I7" s="207"/>
      <c r="J7" s="118"/>
      <c r="K7" s="206">
        <v>3</v>
      </c>
      <c r="L7" s="207"/>
      <c r="M7" s="118"/>
      <c r="N7" s="206">
        <v>3</v>
      </c>
      <c r="O7" s="207"/>
      <c r="P7" s="93"/>
      <c r="Q7" s="69"/>
      <c r="R7" s="206">
        <v>3</v>
      </c>
      <c r="S7" s="207"/>
      <c r="T7" s="118"/>
      <c r="U7" s="206">
        <v>3</v>
      </c>
      <c r="V7" s="207"/>
      <c r="W7" s="118"/>
      <c r="X7" s="206">
        <v>3</v>
      </c>
      <c r="Y7" s="207"/>
      <c r="Z7" s="118"/>
      <c r="AA7" s="206">
        <v>3</v>
      </c>
      <c r="AB7" s="207"/>
      <c r="AC7" s="93"/>
      <c r="AD7" s="69"/>
      <c r="AE7" s="206">
        <v>3</v>
      </c>
      <c r="AF7" s="207"/>
      <c r="AG7" s="118"/>
      <c r="AH7" s="206">
        <v>3</v>
      </c>
      <c r="AI7" s="207"/>
      <c r="AJ7" s="118"/>
      <c r="AK7" s="206">
        <v>3</v>
      </c>
      <c r="AL7" s="207"/>
      <c r="AM7" s="118"/>
      <c r="AN7" s="206">
        <v>3</v>
      </c>
      <c r="AO7" s="207"/>
      <c r="AP7" s="93"/>
      <c r="AQ7" s="69"/>
      <c r="AR7" s="206">
        <v>3</v>
      </c>
      <c r="AS7" s="207"/>
      <c r="AT7" s="118"/>
      <c r="AU7" s="206">
        <v>3</v>
      </c>
      <c r="AV7" s="207"/>
      <c r="AW7" s="118"/>
      <c r="AX7" s="206">
        <v>3</v>
      </c>
      <c r="AY7" s="207"/>
      <c r="AZ7" s="118"/>
      <c r="BA7" s="206">
        <v>3</v>
      </c>
      <c r="BB7" s="207"/>
      <c r="BC7" s="93"/>
      <c r="BD7" s="69"/>
      <c r="BE7" s="206">
        <v>3</v>
      </c>
      <c r="BF7" s="207"/>
      <c r="BG7" s="118"/>
      <c r="BH7" s="206">
        <v>3</v>
      </c>
      <c r="BI7" s="207"/>
      <c r="BJ7" s="118"/>
      <c r="BK7" s="206">
        <v>3</v>
      </c>
      <c r="BL7" s="207"/>
      <c r="BM7" s="118"/>
      <c r="BN7" s="206">
        <v>3</v>
      </c>
      <c r="BO7" s="207"/>
      <c r="BP7" s="93"/>
      <c r="BQ7" s="69"/>
      <c r="BR7" s="206">
        <v>3</v>
      </c>
      <c r="BS7" s="207"/>
      <c r="BT7" s="118"/>
      <c r="BU7" s="206">
        <v>3</v>
      </c>
      <c r="BV7" s="207"/>
      <c r="BW7" s="118"/>
      <c r="BX7" s="206">
        <v>3</v>
      </c>
      <c r="BY7" s="207"/>
      <c r="BZ7" s="118"/>
      <c r="CA7" s="206">
        <v>3</v>
      </c>
      <c r="CB7" s="207"/>
      <c r="CC7" s="93"/>
      <c r="CD7" s="69"/>
      <c r="CE7" s="206">
        <v>3</v>
      </c>
      <c r="CF7" s="207"/>
      <c r="CG7" s="118"/>
      <c r="CH7" s="206">
        <v>3</v>
      </c>
      <c r="CI7" s="207"/>
      <c r="CJ7" s="118"/>
      <c r="CK7" s="206">
        <v>3</v>
      </c>
      <c r="CL7" s="207"/>
      <c r="CM7" s="118"/>
      <c r="CN7" s="206">
        <v>3</v>
      </c>
      <c r="CO7" s="207"/>
      <c r="CP7" s="93"/>
      <c r="CQ7" s="69"/>
      <c r="CR7" s="206">
        <v>3</v>
      </c>
      <c r="CS7" s="207"/>
      <c r="CT7" s="118"/>
      <c r="CU7" s="206">
        <v>3</v>
      </c>
      <c r="CV7" s="207"/>
      <c r="CW7" s="118"/>
      <c r="CX7" s="206">
        <v>3</v>
      </c>
      <c r="CY7" s="207"/>
      <c r="CZ7" s="118"/>
      <c r="DA7" s="206">
        <v>3</v>
      </c>
      <c r="DB7" s="207"/>
      <c r="DC7" s="93"/>
      <c r="DD7" s="69"/>
      <c r="DE7" s="206">
        <v>3</v>
      </c>
      <c r="DF7" s="207"/>
      <c r="DG7" s="118"/>
      <c r="DH7" s="206">
        <v>3</v>
      </c>
      <c r="DI7" s="207"/>
      <c r="DJ7" s="118"/>
      <c r="DK7" s="206">
        <v>3</v>
      </c>
      <c r="DL7" s="207"/>
      <c r="DM7" s="118"/>
      <c r="DN7" s="206">
        <v>3</v>
      </c>
      <c r="DO7" s="207"/>
      <c r="DP7" s="93"/>
      <c r="DQ7" s="69"/>
      <c r="DR7" s="206">
        <v>3</v>
      </c>
      <c r="DS7" s="207"/>
      <c r="DT7" s="118"/>
      <c r="DU7" s="206">
        <v>3</v>
      </c>
      <c r="DV7" s="207"/>
      <c r="DW7" s="118"/>
      <c r="DX7" s="206">
        <v>3</v>
      </c>
      <c r="DY7" s="207"/>
      <c r="DZ7" s="118"/>
      <c r="EA7" s="206">
        <v>3</v>
      </c>
      <c r="EB7" s="207"/>
      <c r="EC7" s="93"/>
      <c r="ED7" s="69"/>
      <c r="EE7" s="206">
        <v>3</v>
      </c>
      <c r="EF7" s="207"/>
      <c r="EG7" s="118"/>
      <c r="EH7" s="206">
        <v>3</v>
      </c>
      <c r="EI7" s="207"/>
      <c r="EJ7" s="118"/>
      <c r="EK7" s="206">
        <v>3</v>
      </c>
      <c r="EL7" s="207"/>
      <c r="EM7" s="118"/>
      <c r="EN7" s="206">
        <v>3</v>
      </c>
      <c r="EO7" s="207"/>
      <c r="EP7" s="93"/>
      <c r="EQ7" s="69"/>
      <c r="ER7" s="206">
        <v>3</v>
      </c>
      <c r="ES7" s="207"/>
      <c r="ET7" s="118"/>
      <c r="EU7" s="206">
        <v>3</v>
      </c>
      <c r="EV7" s="207"/>
      <c r="EW7" s="118"/>
      <c r="EX7" s="206">
        <v>3</v>
      </c>
      <c r="EY7" s="207"/>
      <c r="EZ7" s="118"/>
      <c r="FA7" s="206">
        <v>3</v>
      </c>
      <c r="FB7" s="207"/>
    </row>
    <row r="8" spans="2:160" ht="15.75" thickBot="1" x14ac:dyDescent="0.3">
      <c r="B8" s="157" t="s">
        <v>4</v>
      </c>
      <c r="C8" s="158"/>
      <c r="D8" s="73"/>
      <c r="E8" s="204">
        <f>F5+6</f>
        <v>43476</v>
      </c>
      <c r="F8" s="205"/>
      <c r="G8" s="119"/>
      <c r="H8" s="204"/>
      <c r="I8" s="205"/>
      <c r="J8" s="119"/>
      <c r="K8" s="204"/>
      <c r="L8" s="205"/>
      <c r="M8" s="119"/>
      <c r="N8" s="204"/>
      <c r="O8" s="205"/>
      <c r="P8" s="93"/>
      <c r="Q8" s="69"/>
      <c r="R8" s="204"/>
      <c r="S8" s="205"/>
      <c r="T8" s="119"/>
      <c r="U8" s="204"/>
      <c r="V8" s="205"/>
      <c r="W8" s="119"/>
      <c r="X8" s="204"/>
      <c r="Y8" s="205"/>
      <c r="Z8" s="119"/>
      <c r="AA8" s="204"/>
      <c r="AB8" s="205"/>
      <c r="AC8" s="93"/>
      <c r="AD8" s="69"/>
      <c r="AE8" s="204"/>
      <c r="AF8" s="205"/>
      <c r="AG8" s="119"/>
      <c r="AH8" s="204"/>
      <c r="AI8" s="205"/>
      <c r="AJ8" s="119"/>
      <c r="AK8" s="204"/>
      <c r="AL8" s="205"/>
      <c r="AM8" s="119"/>
      <c r="AN8" s="204"/>
      <c r="AO8" s="205"/>
      <c r="AP8" s="93"/>
      <c r="AQ8" s="69"/>
      <c r="AR8" s="204"/>
      <c r="AS8" s="205"/>
      <c r="AT8" s="119"/>
      <c r="AU8" s="204"/>
      <c r="AV8" s="205"/>
      <c r="AW8" s="119"/>
      <c r="AX8" s="204"/>
      <c r="AY8" s="205"/>
      <c r="AZ8" s="119"/>
      <c r="BA8" s="204"/>
      <c r="BB8" s="205"/>
      <c r="BC8" s="93"/>
      <c r="BD8" s="69"/>
      <c r="BE8" s="204"/>
      <c r="BF8" s="205"/>
      <c r="BG8" s="119"/>
      <c r="BH8" s="204"/>
      <c r="BI8" s="205"/>
      <c r="BJ8" s="119"/>
      <c r="BK8" s="204"/>
      <c r="BL8" s="205"/>
      <c r="BM8" s="119"/>
      <c r="BN8" s="204"/>
      <c r="BO8" s="205"/>
      <c r="BP8" s="93"/>
      <c r="BQ8" s="69"/>
      <c r="BR8" s="204"/>
      <c r="BS8" s="205"/>
      <c r="BT8" s="119"/>
      <c r="BU8" s="204"/>
      <c r="BV8" s="205"/>
      <c r="BW8" s="119"/>
      <c r="BX8" s="204"/>
      <c r="BY8" s="205"/>
      <c r="BZ8" s="119"/>
      <c r="CA8" s="204"/>
      <c r="CB8" s="205"/>
      <c r="CC8" s="93"/>
      <c r="CD8" s="69"/>
      <c r="CE8" s="204"/>
      <c r="CF8" s="205"/>
      <c r="CG8" s="119"/>
      <c r="CH8" s="204"/>
      <c r="CI8" s="205"/>
      <c r="CJ8" s="119"/>
      <c r="CK8" s="204"/>
      <c r="CL8" s="205"/>
      <c r="CM8" s="119"/>
      <c r="CN8" s="204"/>
      <c r="CO8" s="205"/>
      <c r="CP8" s="93"/>
      <c r="CQ8" s="69"/>
      <c r="CR8" s="204"/>
      <c r="CS8" s="205"/>
      <c r="CT8" s="119"/>
      <c r="CU8" s="204"/>
      <c r="CV8" s="205"/>
      <c r="CW8" s="119"/>
      <c r="CX8" s="204"/>
      <c r="CY8" s="205"/>
      <c r="CZ8" s="119"/>
      <c r="DA8" s="204"/>
      <c r="DB8" s="205"/>
      <c r="DC8" s="93"/>
      <c r="DD8" s="69"/>
      <c r="DE8" s="204"/>
      <c r="DF8" s="205"/>
      <c r="DG8" s="119"/>
      <c r="DH8" s="204"/>
      <c r="DI8" s="205"/>
      <c r="DJ8" s="119"/>
      <c r="DK8" s="204"/>
      <c r="DL8" s="205"/>
      <c r="DM8" s="119"/>
      <c r="DN8" s="204"/>
      <c r="DO8" s="205"/>
      <c r="DP8" s="93"/>
      <c r="DQ8" s="69"/>
      <c r="DR8" s="204"/>
      <c r="DS8" s="205"/>
      <c r="DT8" s="119"/>
      <c r="DU8" s="204"/>
      <c r="DV8" s="205"/>
      <c r="DW8" s="119"/>
      <c r="DX8" s="204"/>
      <c r="DY8" s="205"/>
      <c r="DZ8" s="119"/>
      <c r="EA8" s="204"/>
      <c r="EB8" s="205"/>
      <c r="EC8" s="93"/>
      <c r="ED8" s="69"/>
      <c r="EE8" s="204"/>
      <c r="EF8" s="205"/>
      <c r="EG8" s="119"/>
      <c r="EH8" s="204"/>
      <c r="EI8" s="205"/>
      <c r="EJ8" s="119"/>
      <c r="EK8" s="204"/>
      <c r="EL8" s="205"/>
      <c r="EM8" s="119"/>
      <c r="EN8" s="204"/>
      <c r="EO8" s="205"/>
      <c r="EP8" s="93"/>
      <c r="EQ8" s="69"/>
      <c r="ER8" s="204"/>
      <c r="ES8" s="205"/>
      <c r="ET8" s="119"/>
      <c r="EU8" s="204"/>
      <c r="EV8" s="205"/>
      <c r="EW8" s="119"/>
      <c r="EX8" s="204"/>
      <c r="EY8" s="205"/>
      <c r="EZ8" s="119"/>
      <c r="FA8" s="204"/>
      <c r="FB8" s="205"/>
    </row>
    <row r="9" spans="2:160" ht="15.75" thickBot="1" x14ac:dyDescent="0.3">
      <c r="B9" s="212" t="s">
        <v>11</v>
      </c>
      <c r="C9" s="213"/>
      <c r="D9" s="73"/>
      <c r="E9" s="202">
        <f>IF(E6*E7&gt;0,E6*E7,"")</f>
        <v>171</v>
      </c>
      <c r="F9" s="203"/>
      <c r="G9" s="118"/>
      <c r="H9" s="202" t="str">
        <f>IF(H6*H7&gt;0,H6*H7,"")</f>
        <v/>
      </c>
      <c r="I9" s="203"/>
      <c r="J9" s="118"/>
      <c r="K9" s="202" t="str">
        <f>IF(K6*K7&gt;0,K6*K7,"")</f>
        <v/>
      </c>
      <c r="L9" s="203"/>
      <c r="M9" s="118"/>
      <c r="N9" s="202" t="str">
        <f>IF(N6*N7&gt;0,N6*N7,"")</f>
        <v/>
      </c>
      <c r="O9" s="203"/>
      <c r="P9" s="93"/>
      <c r="Q9" s="69"/>
      <c r="R9" s="202" t="str">
        <f>IF(R6*R7&gt;0,R6*R7,"")</f>
        <v/>
      </c>
      <c r="S9" s="203"/>
      <c r="T9" s="118"/>
      <c r="U9" s="202" t="str">
        <f>IF(U6*U7&gt;0,U6*U7,"")</f>
        <v/>
      </c>
      <c r="V9" s="203"/>
      <c r="W9" s="118"/>
      <c r="X9" s="202" t="str">
        <f>IF(X6*X7&gt;0,X6*X7,"")</f>
        <v/>
      </c>
      <c r="Y9" s="203"/>
      <c r="Z9" s="118"/>
      <c r="AA9" s="202" t="str">
        <f>IF(AA6*AA7&gt;0,AA6*AA7,"")</f>
        <v/>
      </c>
      <c r="AB9" s="203"/>
      <c r="AC9" s="93"/>
      <c r="AD9" s="69"/>
      <c r="AE9" s="202" t="str">
        <f>IF(AE6*AE7&gt;0,AE6*AE7,"")</f>
        <v/>
      </c>
      <c r="AF9" s="203"/>
      <c r="AG9" s="118"/>
      <c r="AH9" s="202" t="str">
        <f>IF(AH6*AH7&gt;0,AH6*AH7,"")</f>
        <v/>
      </c>
      <c r="AI9" s="203"/>
      <c r="AJ9" s="118"/>
      <c r="AK9" s="202" t="str">
        <f>IF(AK6*AK7&gt;0,AK6*AK7,"")</f>
        <v/>
      </c>
      <c r="AL9" s="203"/>
      <c r="AM9" s="118"/>
      <c r="AN9" s="202" t="str">
        <f>IF(AN6*AN7&gt;0,AN6*AN7,"")</f>
        <v/>
      </c>
      <c r="AO9" s="203"/>
      <c r="AP9" s="93"/>
      <c r="AQ9" s="69"/>
      <c r="AR9" s="202" t="str">
        <f>IF(AR6*AR7&gt;0,AR6*AR7,"")</f>
        <v/>
      </c>
      <c r="AS9" s="203"/>
      <c r="AT9" s="118"/>
      <c r="AU9" s="202" t="str">
        <f>IF(AU6*AU7&gt;0,AU6*AU7,"")</f>
        <v/>
      </c>
      <c r="AV9" s="203"/>
      <c r="AW9" s="118"/>
      <c r="AX9" s="202" t="str">
        <f>IF(AX6*AX7&gt;0,AX6*AX7,"")</f>
        <v/>
      </c>
      <c r="AY9" s="203"/>
      <c r="AZ9" s="118"/>
      <c r="BA9" s="202" t="str">
        <f>IF(BA6*BA7&gt;0,BA6*BA7,"")</f>
        <v/>
      </c>
      <c r="BB9" s="203"/>
      <c r="BC9" s="93"/>
      <c r="BD9" s="69"/>
      <c r="BE9" s="202" t="str">
        <f>IF(BE6*BE7&gt;0,BE6*BE7,"")</f>
        <v/>
      </c>
      <c r="BF9" s="203"/>
      <c r="BG9" s="118"/>
      <c r="BH9" s="202" t="str">
        <f>IF(BH6*BH7&gt;0,BH6*BH7,"")</f>
        <v/>
      </c>
      <c r="BI9" s="203"/>
      <c r="BJ9" s="118"/>
      <c r="BK9" s="202" t="str">
        <f>IF(BK6*BK7&gt;0,BK6*BK7,"")</f>
        <v/>
      </c>
      <c r="BL9" s="203"/>
      <c r="BM9" s="118"/>
      <c r="BN9" s="202" t="str">
        <f>IF(BN6*BN7&gt;0,BN6*BN7,"")</f>
        <v/>
      </c>
      <c r="BO9" s="203"/>
      <c r="BP9" s="93"/>
      <c r="BQ9" s="69"/>
      <c r="BR9" s="202" t="str">
        <f>IF(BR6*BR7&gt;0,BR6*BR7,"")</f>
        <v/>
      </c>
      <c r="BS9" s="203"/>
      <c r="BT9" s="118"/>
      <c r="BU9" s="202" t="str">
        <f>IF(BU6*BU7&gt;0,BU6*BU7,"")</f>
        <v/>
      </c>
      <c r="BV9" s="203"/>
      <c r="BW9" s="118"/>
      <c r="BX9" s="202" t="str">
        <f>IF(BX6*BX7&gt;0,BX6*BX7,"")</f>
        <v/>
      </c>
      <c r="BY9" s="203"/>
      <c r="BZ9" s="118"/>
      <c r="CA9" s="202" t="str">
        <f>IF(CA6*CA7&gt;0,CA6*CA7,"")</f>
        <v/>
      </c>
      <c r="CB9" s="203"/>
      <c r="CC9" s="93"/>
      <c r="CD9" s="69"/>
      <c r="CE9" s="202" t="str">
        <f>IF(CE6*CE7&gt;0,CE6*CE7,"")</f>
        <v/>
      </c>
      <c r="CF9" s="203"/>
      <c r="CG9" s="118"/>
      <c r="CH9" s="202" t="str">
        <f>IF(CH6*CH7&gt;0,CH6*CH7,"")</f>
        <v/>
      </c>
      <c r="CI9" s="203"/>
      <c r="CJ9" s="118"/>
      <c r="CK9" s="202" t="str">
        <f>IF(CK6*CK7&gt;0,CK6*CK7,"")</f>
        <v/>
      </c>
      <c r="CL9" s="203"/>
      <c r="CM9" s="118"/>
      <c r="CN9" s="202" t="str">
        <f>IF(CN6*CN7&gt;0,CN6*CN7,"")</f>
        <v/>
      </c>
      <c r="CO9" s="203"/>
      <c r="CP9" s="93"/>
      <c r="CQ9" s="69"/>
      <c r="CR9" s="202" t="str">
        <f>IF(CR6*CR7&gt;0,CR6*CR7,"")</f>
        <v/>
      </c>
      <c r="CS9" s="203"/>
      <c r="CT9" s="118"/>
      <c r="CU9" s="202" t="str">
        <f>IF(CU6*CU7&gt;0,CU6*CU7,"")</f>
        <v/>
      </c>
      <c r="CV9" s="203"/>
      <c r="CW9" s="118"/>
      <c r="CX9" s="202" t="str">
        <f>IF(CX6*CX7&gt;0,CX6*CX7,"")</f>
        <v/>
      </c>
      <c r="CY9" s="203"/>
      <c r="CZ9" s="118"/>
      <c r="DA9" s="202" t="str">
        <f>IF(DA6*DA7&gt;0,DA6*DA7,"")</f>
        <v/>
      </c>
      <c r="DB9" s="203"/>
      <c r="DC9" s="93"/>
      <c r="DD9" s="69"/>
      <c r="DE9" s="202" t="str">
        <f>IF(DE6*DE7&gt;0,DE6*DE7,"")</f>
        <v/>
      </c>
      <c r="DF9" s="203"/>
      <c r="DG9" s="118"/>
      <c r="DH9" s="202" t="str">
        <f>IF(DH6*DH7&gt;0,DH6*DH7,"")</f>
        <v/>
      </c>
      <c r="DI9" s="203"/>
      <c r="DJ9" s="118"/>
      <c r="DK9" s="202" t="str">
        <f>IF(DK6*DK7&gt;0,DK6*DK7,"")</f>
        <v/>
      </c>
      <c r="DL9" s="203"/>
      <c r="DM9" s="118"/>
      <c r="DN9" s="202" t="str">
        <f>IF(DN6*DN7&gt;0,DN6*DN7,"")</f>
        <v/>
      </c>
      <c r="DO9" s="203"/>
      <c r="DP9" s="93"/>
      <c r="DQ9" s="69"/>
      <c r="DR9" s="202" t="str">
        <f>IF(DR6*DR7&gt;0,DR6*DR7,"")</f>
        <v/>
      </c>
      <c r="DS9" s="203"/>
      <c r="DT9" s="118"/>
      <c r="DU9" s="202" t="str">
        <f>IF(DU6*DU7&gt;0,DU6*DU7,"")</f>
        <v/>
      </c>
      <c r="DV9" s="203"/>
      <c r="DW9" s="118"/>
      <c r="DX9" s="202" t="str">
        <f>IF(DX6*DX7&gt;0,DX6*DX7,"")</f>
        <v/>
      </c>
      <c r="DY9" s="203"/>
      <c r="DZ9" s="118"/>
      <c r="EA9" s="202" t="str">
        <f>IF(EA6*EA7&gt;0,EA6*EA7,"")</f>
        <v/>
      </c>
      <c r="EB9" s="203"/>
      <c r="EC9" s="93"/>
      <c r="ED9" s="69"/>
      <c r="EE9" s="202" t="str">
        <f>IF(EE6*EE7&gt;0,EE6*EE7,"")</f>
        <v/>
      </c>
      <c r="EF9" s="203"/>
      <c r="EG9" s="118"/>
      <c r="EH9" s="202" t="str">
        <f>IF(EH6*EH7&gt;0,EH6*EH7,"")</f>
        <v/>
      </c>
      <c r="EI9" s="203"/>
      <c r="EJ9" s="118"/>
      <c r="EK9" s="202" t="str">
        <f>IF(EK6*EK7&gt;0,EK6*EK7,"")</f>
        <v/>
      </c>
      <c r="EL9" s="203"/>
      <c r="EM9" s="118"/>
      <c r="EN9" s="202" t="str">
        <f>IF(EN6*EN7&gt;0,EN6*EN7,"")</f>
        <v/>
      </c>
      <c r="EO9" s="203"/>
      <c r="EP9" s="93"/>
      <c r="EQ9" s="69"/>
      <c r="ER9" s="202" t="str">
        <f>IF(ER6*ER7&gt;0,ER6*ER7,"")</f>
        <v/>
      </c>
      <c r="ES9" s="203"/>
      <c r="ET9" s="118"/>
      <c r="EU9" s="202" t="str">
        <f>IF(EU6*EU7&gt;0,EU6*EU7,"")</f>
        <v/>
      </c>
      <c r="EV9" s="203"/>
      <c r="EW9" s="118"/>
      <c r="EX9" s="202" t="str">
        <f>IF(EX6*EX7&gt;0,EX6*EX7,"")</f>
        <v/>
      </c>
      <c r="EY9" s="203"/>
      <c r="EZ9" s="118"/>
      <c r="FA9" s="202" t="str">
        <f>IF(FA6*FA7&gt;0,FA6*FA7,"")</f>
        <v/>
      </c>
      <c r="FB9" s="203"/>
    </row>
    <row r="10" spans="2:160" ht="15.75" thickBot="1" x14ac:dyDescent="0.3">
      <c r="B10" s="72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0"/>
      <c r="CN10" s="70"/>
      <c r="CO10" s="70"/>
      <c r="CP10" s="70"/>
      <c r="CQ10" s="70"/>
      <c r="CR10" s="70"/>
      <c r="CS10" s="70"/>
      <c r="CT10" s="70"/>
      <c r="CU10" s="70"/>
      <c r="CV10" s="70"/>
      <c r="CW10" s="70"/>
      <c r="CX10" s="70"/>
      <c r="CY10" s="70"/>
      <c r="CZ10" s="70"/>
      <c r="DA10" s="70"/>
      <c r="DB10" s="70"/>
      <c r="DC10" s="70"/>
      <c r="DD10" s="70"/>
      <c r="DE10" s="70"/>
      <c r="DF10" s="70"/>
      <c r="DG10" s="70"/>
      <c r="DH10" s="70"/>
      <c r="DI10" s="70"/>
      <c r="DJ10" s="70"/>
      <c r="DK10" s="70"/>
      <c r="DL10" s="70"/>
      <c r="DM10" s="70"/>
      <c r="DN10" s="70"/>
      <c r="DO10" s="70"/>
      <c r="DP10" s="70"/>
      <c r="DQ10" s="70"/>
      <c r="DR10" s="70"/>
      <c r="DS10" s="70"/>
      <c r="DT10" s="70"/>
      <c r="DU10" s="70"/>
      <c r="DV10" s="70"/>
      <c r="DW10" s="70"/>
      <c r="DX10" s="70"/>
      <c r="DY10" s="70"/>
      <c r="DZ10" s="70"/>
      <c r="EA10" s="70"/>
      <c r="EB10" s="70"/>
      <c r="EC10" s="70"/>
      <c r="ED10" s="70"/>
      <c r="EE10" s="70"/>
      <c r="EF10" s="70"/>
      <c r="EG10" s="70"/>
      <c r="EH10" s="70"/>
      <c r="EI10" s="70"/>
      <c r="EJ10" s="70"/>
      <c r="EK10" s="70"/>
      <c r="EL10" s="70"/>
      <c r="EM10" s="70"/>
      <c r="EN10" s="70"/>
      <c r="EO10" s="70"/>
      <c r="EP10" s="70"/>
      <c r="EQ10" s="70"/>
      <c r="ER10" s="70"/>
      <c r="ES10" s="70"/>
      <c r="ET10" s="70"/>
      <c r="EU10" s="70"/>
      <c r="EV10" s="70"/>
      <c r="EW10" s="70"/>
      <c r="EX10" s="70"/>
      <c r="EY10" s="70"/>
      <c r="EZ10" s="70"/>
      <c r="FA10" s="70"/>
      <c r="FB10" s="79"/>
    </row>
    <row r="30" spans="6:6" x14ac:dyDescent="0.25">
      <c r="F30" s="28"/>
    </row>
  </sheetData>
  <sheetProtection algorithmName="SHA-512" hashValue="VBRnRZ2CPskjmxvJ5nuVZ2DfzZ6z/AaX5oTt5b3AYn1KlVpOy79laAyr32IXuKSdTopm8dlexF7Be8ouVxTfkA==" saltValue="viZ/qTuG+1hp4HHYZGpfpA==" spinCount="100000" sheet="1" selectLockedCells="1"/>
  <mergeCells count="211">
    <mergeCell ref="B5:C5"/>
    <mergeCell ref="B6:C6"/>
    <mergeCell ref="B2:C2"/>
    <mergeCell ref="E2:O2"/>
    <mergeCell ref="B4:C4"/>
    <mergeCell ref="B7:C7"/>
    <mergeCell ref="B8:C8"/>
    <mergeCell ref="B9:C9"/>
    <mergeCell ref="E8:F8"/>
    <mergeCell ref="N8:O8"/>
    <mergeCell ref="N6:O6"/>
    <mergeCell ref="E7:F7"/>
    <mergeCell ref="N7:O7"/>
    <mergeCell ref="E9:F9"/>
    <mergeCell ref="H6:I6"/>
    <mergeCell ref="H7:I7"/>
    <mergeCell ref="H8:I8"/>
    <mergeCell ref="H9:I9"/>
    <mergeCell ref="K6:L6"/>
    <mergeCell ref="K7:L7"/>
    <mergeCell ref="K8:L8"/>
    <mergeCell ref="N9:O9"/>
    <mergeCell ref="E6:F6"/>
    <mergeCell ref="K9:L9"/>
    <mergeCell ref="AH9:AI9"/>
    <mergeCell ref="AK9:AL9"/>
    <mergeCell ref="AN9:AO9"/>
    <mergeCell ref="AE6:AF6"/>
    <mergeCell ref="AE7:AF7"/>
    <mergeCell ref="AE8:AF8"/>
    <mergeCell ref="AE9:AF9"/>
    <mergeCell ref="X9:Y9"/>
    <mergeCell ref="X6:Y6"/>
    <mergeCell ref="X7:Y7"/>
    <mergeCell ref="X8:Y8"/>
    <mergeCell ref="BR2:CB2"/>
    <mergeCell ref="AH6:AI6"/>
    <mergeCell ref="AK6:AL6"/>
    <mergeCell ref="AN6:AO6"/>
    <mergeCell ref="AR6:AS6"/>
    <mergeCell ref="AU6:AV6"/>
    <mergeCell ref="AX6:AY6"/>
    <mergeCell ref="BA6:BB6"/>
    <mergeCell ref="BE6:BF6"/>
    <mergeCell ref="BH6:BI6"/>
    <mergeCell ref="BK6:BL6"/>
    <mergeCell ref="BN6:BO6"/>
    <mergeCell ref="BR6:BS6"/>
    <mergeCell ref="BU6:BV6"/>
    <mergeCell ref="AE2:AO2"/>
    <mergeCell ref="AR9:AS9"/>
    <mergeCell ref="AU9:AV9"/>
    <mergeCell ref="AX9:AY9"/>
    <mergeCell ref="BA9:BB9"/>
    <mergeCell ref="BE9:BF9"/>
    <mergeCell ref="R9:S9"/>
    <mergeCell ref="U9:V9"/>
    <mergeCell ref="AA9:AB9"/>
    <mergeCell ref="AR2:BB2"/>
    <mergeCell ref="BE2:BO2"/>
    <mergeCell ref="AR7:AS7"/>
    <mergeCell ref="AU7:AV7"/>
    <mergeCell ref="AX7:AY7"/>
    <mergeCell ref="BA7:BB7"/>
    <mergeCell ref="R2:AB2"/>
    <mergeCell ref="R6:S6"/>
    <mergeCell ref="U6:V6"/>
    <mergeCell ref="AA6:AB6"/>
    <mergeCell ref="R7:S7"/>
    <mergeCell ref="U7:V7"/>
    <mergeCell ref="AA7:AB7"/>
    <mergeCell ref="R8:S8"/>
    <mergeCell ref="U8:V8"/>
    <mergeCell ref="AA8:AB8"/>
    <mergeCell ref="CA7:CB7"/>
    <mergeCell ref="AH8:AI8"/>
    <mergeCell ref="AK8:AL8"/>
    <mergeCell ref="AN8:AO8"/>
    <mergeCell ref="AR8:AS8"/>
    <mergeCell ref="AU8:AV8"/>
    <mergeCell ref="AX8:AY8"/>
    <mergeCell ref="BA8:BB8"/>
    <mergeCell ref="BE8:BF8"/>
    <mergeCell ref="BH8:BI8"/>
    <mergeCell ref="BK8:BL8"/>
    <mergeCell ref="BN8:BO8"/>
    <mergeCell ref="BR8:BS8"/>
    <mergeCell ref="BU8:BV8"/>
    <mergeCell ref="BX8:BY8"/>
    <mergeCell ref="CA8:CB8"/>
    <mergeCell ref="AH7:AI7"/>
    <mergeCell ref="AK7:AL7"/>
    <mergeCell ref="AN7:AO7"/>
    <mergeCell ref="BE7:BF7"/>
    <mergeCell ref="BH7:BI7"/>
    <mergeCell ref="BK7:BL7"/>
    <mergeCell ref="BN7:BO7"/>
    <mergeCell ref="BR7:BS7"/>
    <mergeCell ref="BX9:BY9"/>
    <mergeCell ref="CA9:CB9"/>
    <mergeCell ref="CE2:CO2"/>
    <mergeCell ref="CR2:DB2"/>
    <mergeCell ref="DE2:DO2"/>
    <mergeCell ref="BH9:BI9"/>
    <mergeCell ref="BK9:BL9"/>
    <mergeCell ref="BN9:BO9"/>
    <mergeCell ref="BR9:BS9"/>
    <mergeCell ref="BU9:BV9"/>
    <mergeCell ref="BX6:BY6"/>
    <mergeCell ref="CA6:CB6"/>
    <mergeCell ref="BU7:BV7"/>
    <mergeCell ref="BX7:BY7"/>
    <mergeCell ref="CE7:CF7"/>
    <mergeCell ref="CH7:CI7"/>
    <mergeCell ref="CK7:CL7"/>
    <mergeCell ref="CN7:CO7"/>
    <mergeCell ref="CR7:CS7"/>
    <mergeCell ref="CU7:CV7"/>
    <mergeCell ref="CX7:CY7"/>
    <mergeCell ref="DA7:DB7"/>
    <mergeCell ref="DE7:DF7"/>
    <mergeCell ref="DH7:DI7"/>
    <mergeCell ref="DR2:EB2"/>
    <mergeCell ref="EE2:EO2"/>
    <mergeCell ref="ER2:FB2"/>
    <mergeCell ref="CE6:CF6"/>
    <mergeCell ref="CH6:CI6"/>
    <mergeCell ref="CK6:CL6"/>
    <mergeCell ref="CN6:CO6"/>
    <mergeCell ref="CR6:CS6"/>
    <mergeCell ref="CU6:CV6"/>
    <mergeCell ref="CX6:CY6"/>
    <mergeCell ref="DA6:DB6"/>
    <mergeCell ref="DE6:DF6"/>
    <mergeCell ref="DH6:DI6"/>
    <mergeCell ref="DK6:DL6"/>
    <mergeCell ref="DN6:DO6"/>
    <mergeCell ref="DR6:DS6"/>
    <mergeCell ref="FA6:FB6"/>
    <mergeCell ref="EX6:EY6"/>
    <mergeCell ref="DK7:DL7"/>
    <mergeCell ref="DN7:DO7"/>
    <mergeCell ref="DR7:DS7"/>
    <mergeCell ref="DU7:DV7"/>
    <mergeCell ref="DX7:DY7"/>
    <mergeCell ref="EK6:EL6"/>
    <mergeCell ref="EN6:EO6"/>
    <mergeCell ref="ER6:ES6"/>
    <mergeCell ref="EU6:EV6"/>
    <mergeCell ref="DU6:DV6"/>
    <mergeCell ref="DX6:DY6"/>
    <mergeCell ref="EA6:EB6"/>
    <mergeCell ref="EE6:EF6"/>
    <mergeCell ref="EH6:EI6"/>
    <mergeCell ref="EA8:EB8"/>
    <mergeCell ref="EE8:EF8"/>
    <mergeCell ref="ER7:ES7"/>
    <mergeCell ref="EU7:EV7"/>
    <mergeCell ref="EX7:EY7"/>
    <mergeCell ref="FA7:FB7"/>
    <mergeCell ref="CE8:CF8"/>
    <mergeCell ref="CH8:CI8"/>
    <mergeCell ref="CK8:CL8"/>
    <mergeCell ref="CN8:CO8"/>
    <mergeCell ref="CR8:CS8"/>
    <mergeCell ref="CU8:CV8"/>
    <mergeCell ref="CX8:CY8"/>
    <mergeCell ref="DA8:DB8"/>
    <mergeCell ref="DE8:DF8"/>
    <mergeCell ref="DH8:DI8"/>
    <mergeCell ref="DK8:DL8"/>
    <mergeCell ref="DN8:DO8"/>
    <mergeCell ref="EA7:EB7"/>
    <mergeCell ref="EE7:EF7"/>
    <mergeCell ref="EH7:EI7"/>
    <mergeCell ref="EK7:EL7"/>
    <mergeCell ref="EN7:EO7"/>
    <mergeCell ref="EX8:EY8"/>
    <mergeCell ref="FA8:FB8"/>
    <mergeCell ref="CE9:CF9"/>
    <mergeCell ref="CH9:CI9"/>
    <mergeCell ref="CK9:CL9"/>
    <mergeCell ref="CN9:CO9"/>
    <mergeCell ref="CR9:CS9"/>
    <mergeCell ref="CU9:CV9"/>
    <mergeCell ref="CX9:CY9"/>
    <mergeCell ref="DA9:DB9"/>
    <mergeCell ref="DE9:DF9"/>
    <mergeCell ref="DH9:DI9"/>
    <mergeCell ref="DK9:DL9"/>
    <mergeCell ref="DN9:DO9"/>
    <mergeCell ref="DR9:DS9"/>
    <mergeCell ref="DU9:DV9"/>
    <mergeCell ref="EH8:EI8"/>
    <mergeCell ref="EK8:EL8"/>
    <mergeCell ref="EN8:EO8"/>
    <mergeCell ref="ER8:ES8"/>
    <mergeCell ref="EU8:EV8"/>
    <mergeCell ref="DR8:DS8"/>
    <mergeCell ref="DU8:DV8"/>
    <mergeCell ref="DX8:DY8"/>
    <mergeCell ref="EN9:EO9"/>
    <mergeCell ref="ER9:ES9"/>
    <mergeCell ref="EU9:EV9"/>
    <mergeCell ref="EX9:EY9"/>
    <mergeCell ref="FA9:FB9"/>
    <mergeCell ref="DX9:DY9"/>
    <mergeCell ref="EA9:EB9"/>
    <mergeCell ref="EE9:EF9"/>
    <mergeCell ref="EH9:EI9"/>
    <mergeCell ref="EK9:EL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0836-0EFD-4BF7-96E6-1F33EE9FFACB}">
  <sheetPr codeName="Sheet3">
    <tabColor theme="2" tint="-0.249977111117893"/>
  </sheetPr>
  <dimension ref="A1:FD16"/>
  <sheetViews>
    <sheetView zoomScale="159" zoomScaleNormal="88" workbookViewId="0">
      <selection activeCell="E10" sqref="E10:F10"/>
    </sheetView>
  </sheetViews>
  <sheetFormatPr defaultColWidth="8.85546875" defaultRowHeight="15" x14ac:dyDescent="0.25"/>
  <cols>
    <col min="1" max="1" width="8.85546875" style="22"/>
    <col min="2" max="2" width="16.28515625" style="22" bestFit="1" customWidth="1"/>
    <col min="3" max="3" width="21" style="22" customWidth="1"/>
    <col min="4" max="16384" width="8.85546875" style="22"/>
  </cols>
  <sheetData>
    <row r="1" spans="1:160" ht="15.75" thickBot="1" x14ac:dyDescent="0.3"/>
    <row r="2" spans="1:160" ht="24.75" thickTop="1" thickBot="1" x14ac:dyDescent="0.4">
      <c r="A2" s="28"/>
      <c r="B2" s="251" t="s">
        <v>20</v>
      </c>
      <c r="C2" s="252"/>
      <c r="D2" s="128"/>
      <c r="E2" s="241" t="s">
        <v>95</v>
      </c>
      <c r="F2" s="242"/>
      <c r="G2" s="242"/>
      <c r="H2" s="242"/>
      <c r="I2" s="242"/>
      <c r="J2" s="242"/>
      <c r="K2" s="242"/>
      <c r="L2" s="242"/>
      <c r="M2" s="242"/>
      <c r="N2" s="242"/>
      <c r="O2" s="243"/>
      <c r="P2" s="129"/>
      <c r="Q2" s="129"/>
      <c r="R2" s="241" t="s">
        <v>96</v>
      </c>
      <c r="S2" s="242"/>
      <c r="T2" s="242"/>
      <c r="U2" s="242"/>
      <c r="V2" s="242"/>
      <c r="W2" s="242"/>
      <c r="X2" s="242"/>
      <c r="Y2" s="242"/>
      <c r="Z2" s="242"/>
      <c r="AA2" s="242"/>
      <c r="AB2" s="243"/>
      <c r="AC2" s="129"/>
      <c r="AD2" s="129"/>
      <c r="AE2" s="241" t="s">
        <v>97</v>
      </c>
      <c r="AF2" s="242"/>
      <c r="AG2" s="242"/>
      <c r="AH2" s="242"/>
      <c r="AI2" s="242"/>
      <c r="AJ2" s="242"/>
      <c r="AK2" s="242"/>
      <c r="AL2" s="242"/>
      <c r="AM2" s="242"/>
      <c r="AN2" s="242"/>
      <c r="AO2" s="243"/>
      <c r="AP2" s="129"/>
      <c r="AQ2" s="129"/>
      <c r="AR2" s="241" t="s">
        <v>98</v>
      </c>
      <c r="AS2" s="242"/>
      <c r="AT2" s="242"/>
      <c r="AU2" s="242"/>
      <c r="AV2" s="242"/>
      <c r="AW2" s="242"/>
      <c r="AX2" s="242"/>
      <c r="AY2" s="242"/>
      <c r="AZ2" s="242"/>
      <c r="BA2" s="242"/>
      <c r="BB2" s="243"/>
      <c r="BC2" s="129"/>
      <c r="BD2" s="129"/>
      <c r="BE2" s="241" t="s">
        <v>99</v>
      </c>
      <c r="BF2" s="242"/>
      <c r="BG2" s="242"/>
      <c r="BH2" s="242"/>
      <c r="BI2" s="242"/>
      <c r="BJ2" s="242"/>
      <c r="BK2" s="242"/>
      <c r="BL2" s="242"/>
      <c r="BM2" s="242"/>
      <c r="BN2" s="242"/>
      <c r="BO2" s="243"/>
      <c r="BP2" s="129"/>
      <c r="BQ2" s="129"/>
      <c r="BR2" s="241" t="s">
        <v>100</v>
      </c>
      <c r="BS2" s="242"/>
      <c r="BT2" s="242"/>
      <c r="BU2" s="242"/>
      <c r="BV2" s="242"/>
      <c r="BW2" s="242"/>
      <c r="BX2" s="242"/>
      <c r="BY2" s="242"/>
      <c r="BZ2" s="242"/>
      <c r="CA2" s="242"/>
      <c r="CB2" s="243"/>
      <c r="CC2" s="129"/>
      <c r="CD2" s="129"/>
      <c r="CE2" s="241" t="s">
        <v>101</v>
      </c>
      <c r="CF2" s="242"/>
      <c r="CG2" s="242"/>
      <c r="CH2" s="242"/>
      <c r="CI2" s="242"/>
      <c r="CJ2" s="242"/>
      <c r="CK2" s="242"/>
      <c r="CL2" s="242"/>
      <c r="CM2" s="242"/>
      <c r="CN2" s="242"/>
      <c r="CO2" s="243"/>
      <c r="CP2" s="129"/>
      <c r="CQ2" s="129"/>
      <c r="CR2" s="241" t="s">
        <v>102</v>
      </c>
      <c r="CS2" s="242"/>
      <c r="CT2" s="242"/>
      <c r="CU2" s="242"/>
      <c r="CV2" s="242"/>
      <c r="CW2" s="242"/>
      <c r="CX2" s="242"/>
      <c r="CY2" s="242"/>
      <c r="CZ2" s="242"/>
      <c r="DA2" s="242"/>
      <c r="DB2" s="243"/>
      <c r="DC2" s="129"/>
      <c r="DD2" s="129"/>
      <c r="DE2" s="241" t="s">
        <v>22</v>
      </c>
      <c r="DF2" s="242"/>
      <c r="DG2" s="242"/>
      <c r="DH2" s="242"/>
      <c r="DI2" s="242"/>
      <c r="DJ2" s="242"/>
      <c r="DK2" s="242"/>
      <c r="DL2" s="242"/>
      <c r="DM2" s="242"/>
      <c r="DN2" s="242"/>
      <c r="DO2" s="243"/>
      <c r="DP2" s="129"/>
      <c r="DQ2" s="129"/>
      <c r="DR2" s="241" t="s">
        <v>0</v>
      </c>
      <c r="DS2" s="242"/>
      <c r="DT2" s="242"/>
      <c r="DU2" s="242"/>
      <c r="DV2" s="242"/>
      <c r="DW2" s="242"/>
      <c r="DX2" s="242"/>
      <c r="DY2" s="242"/>
      <c r="DZ2" s="242"/>
      <c r="EA2" s="242"/>
      <c r="EB2" s="243"/>
      <c r="EC2" s="129"/>
      <c r="ED2" s="129"/>
      <c r="EE2" s="241" t="s">
        <v>2</v>
      </c>
      <c r="EF2" s="242"/>
      <c r="EG2" s="242"/>
      <c r="EH2" s="242"/>
      <c r="EI2" s="242"/>
      <c r="EJ2" s="242"/>
      <c r="EK2" s="242"/>
      <c r="EL2" s="242"/>
      <c r="EM2" s="242"/>
      <c r="EN2" s="242"/>
      <c r="EO2" s="243"/>
      <c r="EP2" s="129"/>
      <c r="EQ2" s="129"/>
      <c r="ER2" s="241" t="s">
        <v>34</v>
      </c>
      <c r="ES2" s="242"/>
      <c r="ET2" s="242"/>
      <c r="EU2" s="242"/>
      <c r="EV2" s="242"/>
      <c r="EW2" s="242"/>
      <c r="EX2" s="242"/>
      <c r="EY2" s="242"/>
      <c r="EZ2" s="242"/>
      <c r="FA2" s="242"/>
      <c r="FB2" s="244"/>
      <c r="FC2" s="27"/>
      <c r="FD2" s="27"/>
    </row>
    <row r="3" spans="1:160" x14ac:dyDescent="0.25">
      <c r="B3" s="130" t="s">
        <v>36</v>
      </c>
      <c r="C3" s="85">
        <f>IFERROR(AVERAGE(12:12),"")</f>
        <v>121</v>
      </c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  <c r="DE3" s="69"/>
      <c r="DF3" s="69"/>
      <c r="DG3" s="69"/>
      <c r="DH3" s="69"/>
      <c r="DI3" s="69"/>
      <c r="DJ3" s="69"/>
      <c r="DK3" s="69"/>
      <c r="DL3" s="69"/>
      <c r="DM3" s="69"/>
      <c r="DN3" s="69"/>
      <c r="DO3" s="69"/>
      <c r="DP3" s="69"/>
      <c r="DQ3" s="69"/>
      <c r="DR3" s="69"/>
      <c r="DS3" s="69"/>
      <c r="DT3" s="69"/>
      <c r="DU3" s="69"/>
      <c r="DV3" s="69"/>
      <c r="DW3" s="69"/>
      <c r="DX3" s="69"/>
      <c r="DY3" s="69"/>
      <c r="DZ3" s="69"/>
      <c r="EA3" s="69"/>
      <c r="EB3" s="69"/>
      <c r="EC3" s="69"/>
      <c r="ED3" s="69"/>
      <c r="EE3" s="69"/>
      <c r="EF3" s="69"/>
      <c r="EG3" s="69"/>
      <c r="EH3" s="69"/>
      <c r="EI3" s="69"/>
      <c r="EJ3" s="69"/>
      <c r="EK3" s="69"/>
      <c r="EL3" s="69"/>
      <c r="EM3" s="69"/>
      <c r="EN3" s="69"/>
      <c r="EO3" s="69"/>
      <c r="EP3" s="69"/>
      <c r="EQ3" s="69"/>
      <c r="ER3" s="69"/>
      <c r="ES3" s="69"/>
      <c r="ET3" s="69"/>
      <c r="EU3" s="69"/>
      <c r="EV3" s="69"/>
      <c r="EW3" s="69"/>
      <c r="EX3" s="69"/>
      <c r="EY3" s="69"/>
      <c r="EZ3" s="69"/>
      <c r="FA3" s="69"/>
      <c r="FB3" s="124"/>
    </row>
    <row r="4" spans="1:160" ht="21.75" thickBot="1" x14ac:dyDescent="0.4">
      <c r="B4" s="253" t="s">
        <v>12</v>
      </c>
      <c r="C4" s="254"/>
      <c r="D4" s="68"/>
      <c r="E4" s="14"/>
      <c r="F4" s="14"/>
      <c r="G4" s="10"/>
      <c r="H4" s="14"/>
      <c r="I4" s="14"/>
      <c r="J4" s="14"/>
      <c r="K4" s="14"/>
      <c r="L4" s="14"/>
      <c r="M4" s="14"/>
      <c r="N4" s="14"/>
      <c r="O4" s="14"/>
      <c r="P4" s="10"/>
      <c r="Q4" s="10"/>
      <c r="R4" s="14"/>
      <c r="S4" s="14"/>
      <c r="T4" s="10"/>
      <c r="U4" s="14"/>
      <c r="V4" s="14"/>
      <c r="W4" s="14"/>
      <c r="X4" s="14"/>
      <c r="Y4" s="14"/>
      <c r="Z4" s="14"/>
      <c r="AA4" s="14"/>
      <c r="AB4" s="14"/>
      <c r="AC4" s="10"/>
      <c r="AD4" s="10"/>
      <c r="AE4" s="14"/>
      <c r="AF4" s="14"/>
      <c r="AG4" s="10"/>
      <c r="AH4" s="14"/>
      <c r="AI4" s="14"/>
      <c r="AJ4" s="14"/>
      <c r="AK4" s="14"/>
      <c r="AL4" s="14"/>
      <c r="AM4" s="14"/>
      <c r="AN4" s="14"/>
      <c r="AO4" s="14"/>
      <c r="AP4" s="10"/>
      <c r="AQ4" s="10"/>
      <c r="AR4" s="14"/>
      <c r="AS4" s="14"/>
      <c r="AT4" s="10"/>
      <c r="AU4" s="14"/>
      <c r="AV4" s="14"/>
      <c r="AW4" s="14"/>
      <c r="AX4" s="14"/>
      <c r="AY4" s="14"/>
      <c r="AZ4" s="14"/>
      <c r="BA4" s="14"/>
      <c r="BB4" s="14"/>
      <c r="BC4" s="10"/>
      <c r="BD4" s="10"/>
      <c r="BE4" s="14"/>
      <c r="BF4" s="14"/>
      <c r="BG4" s="10"/>
      <c r="BH4" s="14"/>
      <c r="BI4" s="14"/>
      <c r="BJ4" s="14"/>
      <c r="BK4" s="14"/>
      <c r="BL4" s="14"/>
      <c r="BM4" s="14"/>
      <c r="BN4" s="14"/>
      <c r="BO4" s="14"/>
      <c r="BP4" s="10"/>
      <c r="BQ4" s="10"/>
      <c r="BR4" s="14"/>
      <c r="BS4" s="14"/>
      <c r="BT4" s="10"/>
      <c r="BU4" s="14"/>
      <c r="BV4" s="14"/>
      <c r="BW4" s="14"/>
      <c r="BX4" s="14"/>
      <c r="BY4" s="14"/>
      <c r="BZ4" s="14"/>
      <c r="CA4" s="14"/>
      <c r="CB4" s="14"/>
      <c r="CC4" s="10"/>
      <c r="CD4" s="10"/>
      <c r="CE4" s="14"/>
      <c r="CF4" s="14"/>
      <c r="CG4" s="10"/>
      <c r="CH4" s="14"/>
      <c r="CI4" s="14"/>
      <c r="CJ4" s="14"/>
      <c r="CK4" s="14"/>
      <c r="CL4" s="14"/>
      <c r="CM4" s="14"/>
      <c r="CN4" s="14"/>
      <c r="CO4" s="14"/>
      <c r="CP4" s="10"/>
      <c r="CQ4" s="10"/>
      <c r="CR4" s="14"/>
      <c r="CS4" s="14"/>
      <c r="CT4" s="10"/>
      <c r="CU4" s="14"/>
      <c r="CV4" s="14"/>
      <c r="CW4" s="14"/>
      <c r="CX4" s="14"/>
      <c r="CY4" s="14"/>
      <c r="CZ4" s="14"/>
      <c r="DA4" s="14"/>
      <c r="DB4" s="14"/>
      <c r="DC4" s="10"/>
      <c r="DD4" s="10"/>
      <c r="DE4" s="14"/>
      <c r="DF4" s="14"/>
      <c r="DG4" s="10"/>
      <c r="DH4" s="14"/>
      <c r="DI4" s="14"/>
      <c r="DJ4" s="14"/>
      <c r="DK4" s="14"/>
      <c r="DL4" s="14"/>
      <c r="DM4" s="14"/>
      <c r="DN4" s="14"/>
      <c r="DO4" s="14"/>
      <c r="DP4" s="10"/>
      <c r="DQ4" s="10"/>
      <c r="DR4" s="14"/>
      <c r="DS4" s="14"/>
      <c r="DT4" s="10"/>
      <c r="DU4" s="14"/>
      <c r="DV4" s="14"/>
      <c r="DW4" s="14"/>
      <c r="DX4" s="14"/>
      <c r="DY4" s="14"/>
      <c r="DZ4" s="14"/>
      <c r="EA4" s="14"/>
      <c r="EB4" s="14"/>
      <c r="EC4" s="10"/>
      <c r="ED4" s="10"/>
      <c r="EE4" s="14"/>
      <c r="EF4" s="14"/>
      <c r="EG4" s="10"/>
      <c r="EH4" s="14"/>
      <c r="EI4" s="14"/>
      <c r="EJ4" s="14"/>
      <c r="EK4" s="14"/>
      <c r="EL4" s="14"/>
      <c r="EM4" s="14"/>
      <c r="EN4" s="14"/>
      <c r="EO4" s="14"/>
      <c r="EP4" s="10"/>
      <c r="EQ4" s="10"/>
      <c r="ER4" s="14"/>
      <c r="ES4" s="14"/>
      <c r="ET4" s="10"/>
      <c r="EU4" s="14"/>
      <c r="EV4" s="14"/>
      <c r="EW4" s="14"/>
      <c r="EX4" s="14"/>
      <c r="EY4" s="14"/>
      <c r="EZ4" s="14"/>
      <c r="FA4" s="14"/>
      <c r="FB4" s="125"/>
    </row>
    <row r="5" spans="1:160" ht="16.5" thickTop="1" thickBot="1" x14ac:dyDescent="0.3">
      <c r="B5" s="263" t="s">
        <v>27</v>
      </c>
      <c r="C5" s="264"/>
      <c r="D5" s="69"/>
      <c r="E5" s="239">
        <f>Paycheck!E9</f>
        <v>171</v>
      </c>
      <c r="F5" s="190"/>
      <c r="G5" s="69"/>
      <c r="H5" s="239" t="str">
        <f>Paycheck!H9</f>
        <v/>
      </c>
      <c r="I5" s="190"/>
      <c r="J5" s="69"/>
      <c r="K5" s="239" t="str">
        <f>Paycheck!K9</f>
        <v/>
      </c>
      <c r="L5" s="190"/>
      <c r="M5" s="69"/>
      <c r="N5" s="239" t="str">
        <f>Paycheck!N9</f>
        <v/>
      </c>
      <c r="O5" s="190"/>
      <c r="P5" s="115"/>
      <c r="Q5" s="69"/>
      <c r="R5" s="239" t="str">
        <f>Paycheck!R9</f>
        <v/>
      </c>
      <c r="S5" s="190"/>
      <c r="T5" s="69"/>
      <c r="U5" s="239" t="str">
        <f>Paycheck!U9</f>
        <v/>
      </c>
      <c r="V5" s="190"/>
      <c r="W5" s="69"/>
      <c r="X5" s="239" t="str">
        <f>Paycheck!X9</f>
        <v/>
      </c>
      <c r="Y5" s="190"/>
      <c r="Z5" s="69"/>
      <c r="AA5" s="239" t="str">
        <f>Paycheck!AA9</f>
        <v/>
      </c>
      <c r="AB5" s="190"/>
      <c r="AC5" s="115"/>
      <c r="AD5" s="69"/>
      <c r="AE5" s="239" t="str">
        <f>Paycheck!AE9</f>
        <v/>
      </c>
      <c r="AF5" s="190"/>
      <c r="AG5" s="69"/>
      <c r="AH5" s="239" t="str">
        <f>Paycheck!AH9</f>
        <v/>
      </c>
      <c r="AI5" s="190"/>
      <c r="AJ5" s="69"/>
      <c r="AK5" s="239" t="str">
        <f>Paycheck!AK9</f>
        <v/>
      </c>
      <c r="AL5" s="190"/>
      <c r="AM5" s="69"/>
      <c r="AN5" s="239" t="str">
        <f>Paycheck!AN9</f>
        <v/>
      </c>
      <c r="AO5" s="190"/>
      <c r="AP5" s="115"/>
      <c r="AQ5" s="69"/>
      <c r="AR5" s="239" t="str">
        <f>Paycheck!AR9</f>
        <v/>
      </c>
      <c r="AS5" s="190"/>
      <c r="AT5" s="69"/>
      <c r="AU5" s="239" t="str">
        <f>Paycheck!AU9</f>
        <v/>
      </c>
      <c r="AV5" s="190"/>
      <c r="AW5" s="69"/>
      <c r="AX5" s="239" t="str">
        <f>Paycheck!AX9</f>
        <v/>
      </c>
      <c r="AY5" s="190"/>
      <c r="AZ5" s="69"/>
      <c r="BA5" s="239" t="str">
        <f>Paycheck!BA9</f>
        <v/>
      </c>
      <c r="BB5" s="190"/>
      <c r="BC5" s="115"/>
      <c r="BD5" s="69"/>
      <c r="BE5" s="239" t="str">
        <f>Paycheck!BE9</f>
        <v/>
      </c>
      <c r="BF5" s="190"/>
      <c r="BG5" s="69"/>
      <c r="BH5" s="239" t="str">
        <f>Paycheck!BH9</f>
        <v/>
      </c>
      <c r="BI5" s="190"/>
      <c r="BJ5" s="69"/>
      <c r="BK5" s="239" t="str">
        <f>Paycheck!BK9</f>
        <v/>
      </c>
      <c r="BL5" s="190"/>
      <c r="BM5" s="69"/>
      <c r="BN5" s="239" t="str">
        <f>Paycheck!BN9</f>
        <v/>
      </c>
      <c r="BO5" s="190"/>
      <c r="BP5" s="115"/>
      <c r="BQ5" s="69"/>
      <c r="BR5" s="239" t="str">
        <f>Paycheck!BR9</f>
        <v/>
      </c>
      <c r="BS5" s="190"/>
      <c r="BT5" s="69"/>
      <c r="BU5" s="239" t="str">
        <f>Paycheck!BU9</f>
        <v/>
      </c>
      <c r="BV5" s="190"/>
      <c r="BW5" s="69"/>
      <c r="BX5" s="239" t="str">
        <f>Paycheck!BX9</f>
        <v/>
      </c>
      <c r="BY5" s="190"/>
      <c r="BZ5" s="69"/>
      <c r="CA5" s="239" t="str">
        <f>Paycheck!CA9</f>
        <v/>
      </c>
      <c r="CB5" s="190"/>
      <c r="CC5" s="115"/>
      <c r="CD5" s="69"/>
      <c r="CE5" s="239" t="str">
        <f>Paycheck!CE9</f>
        <v/>
      </c>
      <c r="CF5" s="190"/>
      <c r="CG5" s="69"/>
      <c r="CH5" s="239" t="str">
        <f>Paycheck!CH9</f>
        <v/>
      </c>
      <c r="CI5" s="190"/>
      <c r="CJ5" s="69"/>
      <c r="CK5" s="239" t="str">
        <f>Paycheck!CK9</f>
        <v/>
      </c>
      <c r="CL5" s="190"/>
      <c r="CM5" s="69"/>
      <c r="CN5" s="239" t="str">
        <f>Paycheck!CN9</f>
        <v/>
      </c>
      <c r="CO5" s="190"/>
      <c r="CP5" s="115"/>
      <c r="CQ5" s="69"/>
      <c r="CR5" s="239" t="str">
        <f>Paycheck!CR9</f>
        <v/>
      </c>
      <c r="CS5" s="190"/>
      <c r="CT5" s="69"/>
      <c r="CU5" s="239" t="str">
        <f>Paycheck!CU9</f>
        <v/>
      </c>
      <c r="CV5" s="190"/>
      <c r="CW5" s="69"/>
      <c r="CX5" s="239" t="str">
        <f>Paycheck!CX9</f>
        <v/>
      </c>
      <c r="CY5" s="190"/>
      <c r="CZ5" s="69"/>
      <c r="DA5" s="239" t="str">
        <f>Paycheck!DA9</f>
        <v/>
      </c>
      <c r="DB5" s="190"/>
      <c r="DC5" s="115"/>
      <c r="DD5" s="69"/>
      <c r="DE5" s="239" t="str">
        <f>Paycheck!DE9</f>
        <v/>
      </c>
      <c r="DF5" s="190"/>
      <c r="DG5" s="69"/>
      <c r="DH5" s="239" t="str">
        <f>Paycheck!DH9</f>
        <v/>
      </c>
      <c r="DI5" s="190"/>
      <c r="DJ5" s="69"/>
      <c r="DK5" s="239" t="str">
        <f>Paycheck!DK9</f>
        <v/>
      </c>
      <c r="DL5" s="190"/>
      <c r="DM5" s="69"/>
      <c r="DN5" s="239" t="str">
        <f>Paycheck!DN9</f>
        <v/>
      </c>
      <c r="DO5" s="190"/>
      <c r="DP5" s="115"/>
      <c r="DQ5" s="69"/>
      <c r="DR5" s="239" t="str">
        <f>Paycheck!DR9</f>
        <v/>
      </c>
      <c r="DS5" s="190"/>
      <c r="DT5" s="69"/>
      <c r="DU5" s="239" t="str">
        <f>Paycheck!DU9</f>
        <v/>
      </c>
      <c r="DV5" s="190"/>
      <c r="DW5" s="69"/>
      <c r="DX5" s="239" t="str">
        <f>Paycheck!DX9</f>
        <v/>
      </c>
      <c r="DY5" s="190"/>
      <c r="DZ5" s="69"/>
      <c r="EA5" s="239" t="str">
        <f>Paycheck!EA9</f>
        <v/>
      </c>
      <c r="EB5" s="190"/>
      <c r="EC5" s="115"/>
      <c r="ED5" s="69"/>
      <c r="EE5" s="239" t="str">
        <f>Paycheck!EE9</f>
        <v/>
      </c>
      <c r="EF5" s="190"/>
      <c r="EG5" s="69"/>
      <c r="EH5" s="239" t="str">
        <f>Paycheck!EH9</f>
        <v/>
      </c>
      <c r="EI5" s="190"/>
      <c r="EJ5" s="69"/>
      <c r="EK5" s="239" t="str">
        <f>Paycheck!EK9</f>
        <v/>
      </c>
      <c r="EL5" s="190"/>
      <c r="EM5" s="69"/>
      <c r="EN5" s="239" t="str">
        <f>Paycheck!EN9</f>
        <v/>
      </c>
      <c r="EO5" s="190"/>
      <c r="EP5" s="115"/>
      <c r="EQ5" s="69"/>
      <c r="ER5" s="239" t="str">
        <f>Paycheck!ER9</f>
        <v/>
      </c>
      <c r="ES5" s="190"/>
      <c r="ET5" s="69"/>
      <c r="EU5" s="239" t="str">
        <f>Paycheck!EU9</f>
        <v/>
      </c>
      <c r="EV5" s="190"/>
      <c r="EW5" s="69"/>
      <c r="EX5" s="239" t="str">
        <f>Paycheck!EX9</f>
        <v/>
      </c>
      <c r="EY5" s="190"/>
      <c r="EZ5" s="69"/>
      <c r="FA5" s="239" t="str">
        <f>Paycheck!FA9</f>
        <v/>
      </c>
      <c r="FB5" s="240"/>
    </row>
    <row r="6" spans="1:160" ht="16.5" thickTop="1" thickBot="1" x14ac:dyDescent="0.3">
      <c r="B6" s="255" t="s">
        <v>13</v>
      </c>
      <c r="C6" s="256"/>
      <c r="D6" s="69"/>
      <c r="E6" s="237">
        <f>IFERROR(E9/E5/10,"")</f>
        <v>0</v>
      </c>
      <c r="F6" s="238"/>
      <c r="G6" s="122"/>
      <c r="H6" s="237">
        <f>IFERROR(E9/E5/10,"")</f>
        <v>0</v>
      </c>
      <c r="I6" s="238"/>
      <c r="J6" s="122"/>
      <c r="K6" s="237">
        <f>IFERROR(SUM(E9:I9)/SUM(E5:I5)/10,"")</f>
        <v>0</v>
      </c>
      <c r="L6" s="238"/>
      <c r="M6" s="122"/>
      <c r="N6" s="237">
        <f>IFERROR(SUM(E9:L9)/SUM(E5:L5)/10,"")</f>
        <v>0</v>
      </c>
      <c r="O6" s="238"/>
      <c r="P6" s="93"/>
      <c r="Q6" s="102"/>
      <c r="R6" s="237">
        <f>IFERROR(SUM(E9:O9)/SUM(E5:O5)/10,"")</f>
        <v>0</v>
      </c>
      <c r="S6" s="238"/>
      <c r="T6" s="122"/>
      <c r="U6" s="237">
        <f>IFERROR(SUM(E9:S9)/SUM(E5:S5)/10,"")</f>
        <v>0</v>
      </c>
      <c r="V6" s="238"/>
      <c r="W6" s="122"/>
      <c r="X6" s="237">
        <f>IFERROR(SUM(E9:V9)/SUM(E5:V5)/10,"")</f>
        <v>0</v>
      </c>
      <c r="Y6" s="238"/>
      <c r="Z6" s="122"/>
      <c r="AA6" s="237">
        <f>IFERROR(SUM(E9:Y9)/SUM(E5:Y5)/10,"")</f>
        <v>0</v>
      </c>
      <c r="AB6" s="238"/>
      <c r="AC6" s="93"/>
      <c r="AD6" s="102"/>
      <c r="AE6" s="237">
        <f>IFERROR(SUM(E9:AB9)/SUM(E5:AB5)/10,"")</f>
        <v>0</v>
      </c>
      <c r="AF6" s="238"/>
      <c r="AG6" s="122"/>
      <c r="AH6" s="237">
        <f>IFERROR(SUM(E9:AF9)/SUM(E5:AF5)/10,"")</f>
        <v>0</v>
      </c>
      <c r="AI6" s="238"/>
      <c r="AJ6" s="122"/>
      <c r="AK6" s="237">
        <f>IFERROR(SUM(E9:AI9)/SUM(E5:AI5)/10,"")</f>
        <v>0</v>
      </c>
      <c r="AL6" s="238"/>
      <c r="AM6" s="122"/>
      <c r="AN6" s="237">
        <f>IFERROR(SUM(E9:AL9)/SUM(E5:AL5)/10,"")</f>
        <v>0</v>
      </c>
      <c r="AO6" s="238"/>
      <c r="AP6" s="93"/>
      <c r="AQ6" s="102"/>
      <c r="AR6" s="237">
        <f>IFERROR(SUM(E9:AO9)/SUM(E5:AO5)/10,"")</f>
        <v>0</v>
      </c>
      <c r="AS6" s="238"/>
      <c r="AT6" s="122"/>
      <c r="AU6" s="237">
        <f>IFERROR(SUM(E9:AS9)/SUM(E5:AS5)/10,"")</f>
        <v>0</v>
      </c>
      <c r="AV6" s="238"/>
      <c r="AW6" s="122"/>
      <c r="AX6" s="237">
        <f>IFERROR(SUM(E9:AV9)/SUM(E5:AV5)/10,"")</f>
        <v>0</v>
      </c>
      <c r="AY6" s="238"/>
      <c r="AZ6" s="122"/>
      <c r="BA6" s="237">
        <f>IFERROR(SUM(E9:AY9)/SUM(E5:AY5)/10,"")</f>
        <v>0</v>
      </c>
      <c r="BB6" s="238"/>
      <c r="BC6" s="93"/>
      <c r="BD6" s="102"/>
      <c r="BE6" s="237">
        <f>IFERROR(SUM(E9:BB9)/SUM(E5:BB5)/10,"")</f>
        <v>0</v>
      </c>
      <c r="BF6" s="238"/>
      <c r="BG6" s="122"/>
      <c r="BH6" s="237">
        <f>IFERROR(SUM(E9:BF9)/SUM(E5:BF5)/10,"")</f>
        <v>0</v>
      </c>
      <c r="BI6" s="238"/>
      <c r="BJ6" s="122"/>
      <c r="BK6" s="237">
        <f>IFERROR(SUM(E9:BI9)/SUM(E5:BI5)/10,"")</f>
        <v>0</v>
      </c>
      <c r="BL6" s="238"/>
      <c r="BM6" s="122"/>
      <c r="BN6" s="237">
        <f>IFERROR(SUM(E9:BL9)/SUM(E5:BL5)/10,"")</f>
        <v>0</v>
      </c>
      <c r="BO6" s="238"/>
      <c r="BP6" s="93"/>
      <c r="BQ6" s="102"/>
      <c r="BR6" s="237">
        <f>IFERROR(SUM(E9:BO9)/SUM(E5:BO5)/10,"")</f>
        <v>0</v>
      </c>
      <c r="BS6" s="238"/>
      <c r="BT6" s="122"/>
      <c r="BU6" s="237">
        <f>IFERROR(SUM(E9:BS9)/SUM(E5:BS5)/10,"")</f>
        <v>0</v>
      </c>
      <c r="BV6" s="238"/>
      <c r="BW6" s="122"/>
      <c r="BX6" s="237">
        <f>IFERROR(SUM(E9:BV9)/SUM(E5:BV5)/10,"")</f>
        <v>0</v>
      </c>
      <c r="BY6" s="238"/>
      <c r="BZ6" s="122"/>
      <c r="CA6" s="237">
        <f>IFERROR(SUM(E9:BY9)/SUM(E5:BY5)/10,"")</f>
        <v>0</v>
      </c>
      <c r="CB6" s="238"/>
      <c r="CC6" s="93"/>
      <c r="CD6" s="102"/>
      <c r="CE6" s="237">
        <f>IFERROR(SUM(E9:CB9)/SUM(E5:CB5)/10,"")</f>
        <v>0</v>
      </c>
      <c r="CF6" s="238"/>
      <c r="CG6" s="122"/>
      <c r="CH6" s="237">
        <f>IFERROR(SUM(E9:CF9)/SUM(E5:CF5)/10,"")</f>
        <v>0</v>
      </c>
      <c r="CI6" s="238"/>
      <c r="CJ6" s="122"/>
      <c r="CK6" s="237">
        <f>IFERROR(SUM(E9:CI9)/SUM(E5:CI5)/10,"")</f>
        <v>0</v>
      </c>
      <c r="CL6" s="238"/>
      <c r="CM6" s="122"/>
      <c r="CN6" s="237">
        <f>IFERROR(SUM(E9:CL9)/SUM(E5:CL5)/10,"")</f>
        <v>0</v>
      </c>
      <c r="CO6" s="238"/>
      <c r="CP6" s="93"/>
      <c r="CQ6" s="102"/>
      <c r="CR6" s="237">
        <f>IFERROR(SUM(E9:CO9)/SUM(E5:CO5)/10,"")</f>
        <v>0</v>
      </c>
      <c r="CS6" s="238"/>
      <c r="CT6" s="122"/>
      <c r="CU6" s="237">
        <f>IFERROR(SUM(E9:CS9)/SUM(E5:CS5)/10,"")</f>
        <v>0</v>
      </c>
      <c r="CV6" s="238"/>
      <c r="CW6" s="122"/>
      <c r="CX6" s="237">
        <f>IFERROR(SUM(E9:CV9)/SUM(E5:CV5)/10,"")</f>
        <v>0</v>
      </c>
      <c r="CY6" s="238"/>
      <c r="CZ6" s="122"/>
      <c r="DA6" s="237">
        <f>IFERROR(SUM(E9:CY9)/SUM(E5:CY5)/10,"")</f>
        <v>0</v>
      </c>
      <c r="DB6" s="238"/>
      <c r="DC6" s="93"/>
      <c r="DD6" s="102"/>
      <c r="DE6" s="237">
        <f>IFERROR(SUM(E9:DB9)/SUM(E5:DB5)/10,"")</f>
        <v>0</v>
      </c>
      <c r="DF6" s="238"/>
      <c r="DG6" s="122"/>
      <c r="DH6" s="237">
        <f>IFERROR(SUM(E9:DF9)/SUM(E5:DF5)/10,"")</f>
        <v>0</v>
      </c>
      <c r="DI6" s="238"/>
      <c r="DJ6" s="122"/>
      <c r="DK6" s="237">
        <f>IFERROR(SUM(E9:DI9)/SUM(E5:DI5)/10,"")</f>
        <v>0</v>
      </c>
      <c r="DL6" s="238"/>
      <c r="DM6" s="122"/>
      <c r="DN6" s="237">
        <f>IFERROR(SUM(E9:DL9)/SUM(E5:DL5)/10,"")</f>
        <v>0</v>
      </c>
      <c r="DO6" s="238"/>
      <c r="DP6" s="93"/>
      <c r="DQ6" s="102"/>
      <c r="DR6" s="237">
        <f>IFERROR(SUM(E9:DO9)/SUM(E5:DO5)/10,"")</f>
        <v>0</v>
      </c>
      <c r="DS6" s="238"/>
      <c r="DT6" s="122"/>
      <c r="DU6" s="237">
        <f>IFERROR(SUM(E9:DS9)/SUM(E5:DS5)/10,"")</f>
        <v>0</v>
      </c>
      <c r="DV6" s="238"/>
      <c r="DW6" s="122"/>
      <c r="DX6" s="237">
        <f>IFERROR(SUM(E9:DV9)/SUM(E5:DV5)/10,"")</f>
        <v>0</v>
      </c>
      <c r="DY6" s="238"/>
      <c r="DZ6" s="122"/>
      <c r="EA6" s="237">
        <f>IFERROR(SUM(E9:DY9)/SUM(E5:DY5)/10,"")</f>
        <v>0</v>
      </c>
      <c r="EB6" s="238"/>
      <c r="EC6" s="93"/>
      <c r="ED6" s="102"/>
      <c r="EE6" s="237">
        <f>IFERROR(SUM(E9:EB9)/SUM(E5:EB5)/10,"")</f>
        <v>0</v>
      </c>
      <c r="EF6" s="238"/>
      <c r="EG6" s="122"/>
      <c r="EH6" s="237">
        <f>IFERROR(SUM(E9:EF9)/SUM(E5:EF5)/10,"")</f>
        <v>0</v>
      </c>
      <c r="EI6" s="238"/>
      <c r="EJ6" s="122"/>
      <c r="EK6" s="237">
        <f>IFERROR(SUM(E9:EI9)/SUM(E5:EI5)/10,"")</f>
        <v>0</v>
      </c>
      <c r="EL6" s="238"/>
      <c r="EM6" s="122"/>
      <c r="EN6" s="237">
        <f>IFERROR(SUM(E9:EL9)/SUM(E5:EL5)/10,"")</f>
        <v>0</v>
      </c>
      <c r="EO6" s="238"/>
      <c r="EP6" s="93"/>
      <c r="EQ6" s="102"/>
      <c r="ER6" s="237">
        <f>IFERROR(SUM(E9:EO9)/SUM(E5:EO5)/10,"")</f>
        <v>0</v>
      </c>
      <c r="ES6" s="238"/>
      <c r="ET6" s="122"/>
      <c r="EU6" s="237">
        <f>IFERROR(SUM(E9:ES9)/SUM(E5:ES5)/10,"")</f>
        <v>0</v>
      </c>
      <c r="EV6" s="238"/>
      <c r="EW6" s="122"/>
      <c r="EX6" s="237">
        <f>IFERROR(SUM(E9:EV9)/SUM(E5:EV5)/10,"")</f>
        <v>0</v>
      </c>
      <c r="EY6" s="238"/>
      <c r="EZ6" s="122"/>
      <c r="FA6" s="237">
        <f>IFERROR(SUM(E9:EY9)/SUM(E5:EY5)/10,"")</f>
        <v>0</v>
      </c>
      <c r="FB6" s="238"/>
      <c r="FD6" s="25"/>
    </row>
    <row r="7" spans="1:160" ht="16.5" thickTop="1" thickBot="1" x14ac:dyDescent="0.3">
      <c r="B7" s="257" t="s">
        <v>15</v>
      </c>
      <c r="C7" s="258"/>
      <c r="D7" s="69"/>
      <c r="E7" s="234">
        <f>IFERROR(E5*E6,"")</f>
        <v>0</v>
      </c>
      <c r="F7" s="235"/>
      <c r="G7" s="73"/>
      <c r="H7" s="234" t="str">
        <f>IFERROR(H5*H6,"")</f>
        <v/>
      </c>
      <c r="I7" s="235"/>
      <c r="J7" s="73"/>
      <c r="K7" s="234" t="str">
        <f>IFERROR(K5*K6,"")</f>
        <v/>
      </c>
      <c r="L7" s="235"/>
      <c r="M7" s="73"/>
      <c r="N7" s="234" t="str">
        <f>IFERROR(N5*N6,"")</f>
        <v/>
      </c>
      <c r="O7" s="235"/>
      <c r="P7" s="93"/>
      <c r="Q7" s="69"/>
      <c r="R7" s="234" t="str">
        <f t="shared" ref="R7" si="0">IFERROR(R5*R6,"")</f>
        <v/>
      </c>
      <c r="S7" s="235"/>
      <c r="T7" s="73"/>
      <c r="U7" s="234" t="str">
        <f t="shared" ref="U7" si="1">IFERROR(U5*U6,"")</f>
        <v/>
      </c>
      <c r="V7" s="235"/>
      <c r="W7" s="73"/>
      <c r="X7" s="234" t="str">
        <f t="shared" ref="X7" si="2">IFERROR(X5*X6,"")</f>
        <v/>
      </c>
      <c r="Y7" s="235"/>
      <c r="Z7" s="73"/>
      <c r="AA7" s="234" t="str">
        <f t="shared" ref="AA7" si="3">IFERROR(AA5*AA6,"")</f>
        <v/>
      </c>
      <c r="AB7" s="235"/>
      <c r="AC7" s="93"/>
      <c r="AD7" s="69"/>
      <c r="AE7" s="234" t="str">
        <f t="shared" ref="AE7" si="4">IFERROR(AE5*AE6,"")</f>
        <v/>
      </c>
      <c r="AF7" s="235"/>
      <c r="AG7" s="73"/>
      <c r="AH7" s="234" t="str">
        <f t="shared" ref="AH7" si="5">IFERROR(AH5*AH6,"")</f>
        <v/>
      </c>
      <c r="AI7" s="235"/>
      <c r="AJ7" s="73"/>
      <c r="AK7" s="234" t="str">
        <f t="shared" ref="AK7" si="6">IFERROR(AK5*AK6,"")</f>
        <v/>
      </c>
      <c r="AL7" s="235"/>
      <c r="AM7" s="73"/>
      <c r="AN7" s="234" t="str">
        <f t="shared" ref="AN7" si="7">IFERROR(AN5*AN6,"")</f>
        <v/>
      </c>
      <c r="AO7" s="235"/>
      <c r="AP7" s="93"/>
      <c r="AQ7" s="69"/>
      <c r="AR7" s="234" t="str">
        <f t="shared" ref="AR7" si="8">IFERROR(AR5*AR6,"")</f>
        <v/>
      </c>
      <c r="AS7" s="235"/>
      <c r="AT7" s="73"/>
      <c r="AU7" s="234" t="str">
        <f t="shared" ref="AU7" si="9">IFERROR(AU5*AU6,"")</f>
        <v/>
      </c>
      <c r="AV7" s="235"/>
      <c r="AW7" s="73"/>
      <c r="AX7" s="234" t="str">
        <f t="shared" ref="AX7" si="10">IFERROR(AX5*AX6,"")</f>
        <v/>
      </c>
      <c r="AY7" s="235"/>
      <c r="AZ7" s="73"/>
      <c r="BA7" s="234" t="str">
        <f t="shared" ref="BA7" si="11">IFERROR(BA5*BA6,"")</f>
        <v/>
      </c>
      <c r="BB7" s="235"/>
      <c r="BC7" s="93"/>
      <c r="BD7" s="69"/>
      <c r="BE7" s="234" t="str">
        <f t="shared" ref="BE7" si="12">IFERROR(BE5*BE6,"")</f>
        <v/>
      </c>
      <c r="BF7" s="235"/>
      <c r="BG7" s="73"/>
      <c r="BH7" s="234" t="str">
        <f t="shared" ref="BH7" si="13">IFERROR(BH5*BH6,"")</f>
        <v/>
      </c>
      <c r="BI7" s="235"/>
      <c r="BJ7" s="73"/>
      <c r="BK7" s="234" t="str">
        <f t="shared" ref="BK7" si="14">IFERROR(BK5*BK6,"")</f>
        <v/>
      </c>
      <c r="BL7" s="235"/>
      <c r="BM7" s="73"/>
      <c r="BN7" s="234" t="str">
        <f t="shared" ref="BN7" si="15">IFERROR(BN5*BN6,"")</f>
        <v/>
      </c>
      <c r="BO7" s="235"/>
      <c r="BP7" s="93"/>
      <c r="BQ7" s="69"/>
      <c r="BR7" s="234" t="str">
        <f t="shared" ref="BR7" si="16">IFERROR(BR5*BR6,"")</f>
        <v/>
      </c>
      <c r="BS7" s="235"/>
      <c r="BT7" s="73"/>
      <c r="BU7" s="234" t="str">
        <f t="shared" ref="BU7" si="17">IFERROR(BU5*BU6,"")</f>
        <v/>
      </c>
      <c r="BV7" s="235"/>
      <c r="BW7" s="73"/>
      <c r="BX7" s="234" t="str">
        <f t="shared" ref="BX7" si="18">IFERROR(BX5*BX6,"")</f>
        <v/>
      </c>
      <c r="BY7" s="235"/>
      <c r="BZ7" s="73"/>
      <c r="CA7" s="234" t="str">
        <f t="shared" ref="CA7" si="19">IFERROR(CA5*CA6,"")</f>
        <v/>
      </c>
      <c r="CB7" s="235"/>
      <c r="CC7" s="93"/>
      <c r="CD7" s="69"/>
      <c r="CE7" s="234" t="str">
        <f t="shared" ref="CE7" si="20">IFERROR(CE5*CE6,"")</f>
        <v/>
      </c>
      <c r="CF7" s="235"/>
      <c r="CG7" s="73"/>
      <c r="CH7" s="234" t="str">
        <f t="shared" ref="CH7" si="21">IFERROR(CH5*CH6,"")</f>
        <v/>
      </c>
      <c r="CI7" s="235"/>
      <c r="CJ7" s="73"/>
      <c r="CK7" s="234" t="str">
        <f t="shared" ref="CK7" si="22">IFERROR(CK5*CK6,"")</f>
        <v/>
      </c>
      <c r="CL7" s="235"/>
      <c r="CM7" s="73"/>
      <c r="CN7" s="234" t="str">
        <f t="shared" ref="CN7" si="23">IFERROR(CN5*CN6,"")</f>
        <v/>
      </c>
      <c r="CO7" s="235"/>
      <c r="CP7" s="93"/>
      <c r="CQ7" s="69"/>
      <c r="CR7" s="234" t="str">
        <f t="shared" ref="CR7" si="24">IFERROR(CR5*CR6,"")</f>
        <v/>
      </c>
      <c r="CS7" s="235"/>
      <c r="CT7" s="73"/>
      <c r="CU7" s="234" t="str">
        <f t="shared" ref="CU7" si="25">IFERROR(CU5*CU6,"")</f>
        <v/>
      </c>
      <c r="CV7" s="235"/>
      <c r="CW7" s="73"/>
      <c r="CX7" s="234" t="str">
        <f t="shared" ref="CX7" si="26">IFERROR(CX5*CX6,"")</f>
        <v/>
      </c>
      <c r="CY7" s="235"/>
      <c r="CZ7" s="73"/>
      <c r="DA7" s="234" t="str">
        <f t="shared" ref="DA7" si="27">IFERROR(DA5*DA6,"")</f>
        <v/>
      </c>
      <c r="DB7" s="235"/>
      <c r="DC7" s="93"/>
      <c r="DD7" s="69"/>
      <c r="DE7" s="234" t="str">
        <f t="shared" ref="DE7" si="28">IFERROR(DE5*DE6,"")</f>
        <v/>
      </c>
      <c r="DF7" s="235"/>
      <c r="DG7" s="73"/>
      <c r="DH7" s="234" t="str">
        <f t="shared" ref="DH7" si="29">IFERROR(DH5*DH6,"")</f>
        <v/>
      </c>
      <c r="DI7" s="235"/>
      <c r="DJ7" s="73"/>
      <c r="DK7" s="234" t="str">
        <f t="shared" ref="DK7" si="30">IFERROR(DK5*DK6,"")</f>
        <v/>
      </c>
      <c r="DL7" s="235"/>
      <c r="DM7" s="73"/>
      <c r="DN7" s="234" t="str">
        <f t="shared" ref="DN7" si="31">IFERROR(DN5*DN6,"")</f>
        <v/>
      </c>
      <c r="DO7" s="235"/>
      <c r="DP7" s="93"/>
      <c r="DQ7" s="69"/>
      <c r="DR7" s="234" t="str">
        <f t="shared" ref="DR7" si="32">IFERROR(DR5*DR6,"")</f>
        <v/>
      </c>
      <c r="DS7" s="235"/>
      <c r="DT7" s="73"/>
      <c r="DU7" s="234" t="str">
        <f t="shared" ref="DU7" si="33">IFERROR(DU5*DU6,"")</f>
        <v/>
      </c>
      <c r="DV7" s="235"/>
      <c r="DW7" s="73"/>
      <c r="DX7" s="234" t="str">
        <f t="shared" ref="DX7" si="34">IFERROR(DX5*DX6,"")</f>
        <v/>
      </c>
      <c r="DY7" s="235"/>
      <c r="DZ7" s="73"/>
      <c r="EA7" s="234" t="str">
        <f t="shared" ref="EA7" si="35">IFERROR(EA5*EA6,"")</f>
        <v/>
      </c>
      <c r="EB7" s="235"/>
      <c r="EC7" s="93"/>
      <c r="ED7" s="69"/>
      <c r="EE7" s="234" t="str">
        <f t="shared" ref="EE7" si="36">IFERROR(EE5*EE6,"")</f>
        <v/>
      </c>
      <c r="EF7" s="235"/>
      <c r="EG7" s="73"/>
      <c r="EH7" s="234" t="str">
        <f t="shared" ref="EH7" si="37">IFERROR(EH5*EH6,"")</f>
        <v/>
      </c>
      <c r="EI7" s="235"/>
      <c r="EJ7" s="73"/>
      <c r="EK7" s="234" t="str">
        <f t="shared" ref="EK7" si="38">IFERROR(EK5*EK6,"")</f>
        <v/>
      </c>
      <c r="EL7" s="235"/>
      <c r="EM7" s="73"/>
      <c r="EN7" s="234" t="str">
        <f t="shared" ref="EN7" si="39">IFERROR(EN5*EN6,"")</f>
        <v/>
      </c>
      <c r="EO7" s="235"/>
      <c r="EP7" s="93"/>
      <c r="EQ7" s="69"/>
      <c r="ER7" s="234" t="str">
        <f t="shared" ref="ER7" si="40">IFERROR(ER5*ER6,"")</f>
        <v/>
      </c>
      <c r="ES7" s="235"/>
      <c r="ET7" s="73"/>
      <c r="EU7" s="234" t="str">
        <f t="shared" ref="EU7" si="41">IFERROR(EU5*EU6,"")</f>
        <v/>
      </c>
      <c r="EV7" s="235"/>
      <c r="EW7" s="73"/>
      <c r="EX7" s="234" t="str">
        <f t="shared" ref="EX7" si="42">IFERROR(EX5*EX6,"")</f>
        <v/>
      </c>
      <c r="EY7" s="235"/>
      <c r="EZ7" s="73"/>
      <c r="FA7" s="234" t="str">
        <f t="shared" ref="FA7" si="43">IFERROR(FA5*FA6,"")</f>
        <v/>
      </c>
      <c r="FB7" s="236"/>
    </row>
    <row r="8" spans="1:160" ht="16.5" thickTop="1" thickBot="1" x14ac:dyDescent="0.3">
      <c r="B8" s="259" t="s">
        <v>23</v>
      </c>
      <c r="C8" s="260"/>
      <c r="D8" s="69"/>
      <c r="E8" s="217">
        <f>IFERROR(E5-E7,"")</f>
        <v>171</v>
      </c>
      <c r="F8" s="232"/>
      <c r="G8" s="118"/>
      <c r="H8" s="217" t="str">
        <f>IFERROR(H5-H7,"")</f>
        <v/>
      </c>
      <c r="I8" s="232"/>
      <c r="J8" s="118"/>
      <c r="K8" s="217" t="str">
        <f>IFERROR(K5-K7,"")</f>
        <v/>
      </c>
      <c r="L8" s="232"/>
      <c r="M8" s="118"/>
      <c r="N8" s="217" t="str">
        <f>IFERROR(N5-N7,"")</f>
        <v/>
      </c>
      <c r="O8" s="232"/>
      <c r="P8" s="93"/>
      <c r="Q8" s="69"/>
      <c r="R8" s="217" t="str">
        <f t="shared" ref="R8" si="44">IFERROR(R5-R7,"")</f>
        <v/>
      </c>
      <c r="S8" s="232"/>
      <c r="T8" s="118"/>
      <c r="U8" s="217" t="str">
        <f t="shared" ref="U8" si="45">IFERROR(U5-U7,"")</f>
        <v/>
      </c>
      <c r="V8" s="232"/>
      <c r="W8" s="118"/>
      <c r="X8" s="217" t="str">
        <f t="shared" ref="X8" si="46">IFERROR(X5-X7,"")</f>
        <v/>
      </c>
      <c r="Y8" s="232"/>
      <c r="Z8" s="118"/>
      <c r="AA8" s="217" t="str">
        <f t="shared" ref="AA8" si="47">IFERROR(AA5-AA7,"")</f>
        <v/>
      </c>
      <c r="AB8" s="232"/>
      <c r="AC8" s="93"/>
      <c r="AD8" s="69"/>
      <c r="AE8" s="217" t="str">
        <f t="shared" ref="AE8" si="48">IFERROR(AE5-AE7,"")</f>
        <v/>
      </c>
      <c r="AF8" s="232"/>
      <c r="AG8" s="118"/>
      <c r="AH8" s="217" t="str">
        <f t="shared" ref="AH8" si="49">IFERROR(AH5-AH7,"")</f>
        <v/>
      </c>
      <c r="AI8" s="232"/>
      <c r="AJ8" s="118"/>
      <c r="AK8" s="217" t="str">
        <f t="shared" ref="AK8" si="50">IFERROR(AK5-AK7,"")</f>
        <v/>
      </c>
      <c r="AL8" s="232"/>
      <c r="AM8" s="118"/>
      <c r="AN8" s="217" t="str">
        <f t="shared" ref="AN8" si="51">IFERROR(AN5-AN7,"")</f>
        <v/>
      </c>
      <c r="AO8" s="232"/>
      <c r="AP8" s="93"/>
      <c r="AQ8" s="69"/>
      <c r="AR8" s="217" t="str">
        <f t="shared" ref="AR8" si="52">IFERROR(AR5-AR7,"")</f>
        <v/>
      </c>
      <c r="AS8" s="232"/>
      <c r="AT8" s="118"/>
      <c r="AU8" s="217" t="str">
        <f t="shared" ref="AU8" si="53">IFERROR(AU5-AU7,"")</f>
        <v/>
      </c>
      <c r="AV8" s="232"/>
      <c r="AW8" s="118"/>
      <c r="AX8" s="217" t="str">
        <f t="shared" ref="AX8" si="54">IFERROR(AX5-AX7,"")</f>
        <v/>
      </c>
      <c r="AY8" s="232"/>
      <c r="AZ8" s="118"/>
      <c r="BA8" s="217" t="str">
        <f t="shared" ref="BA8" si="55">IFERROR(BA5-BA7,"")</f>
        <v/>
      </c>
      <c r="BB8" s="232"/>
      <c r="BC8" s="93"/>
      <c r="BD8" s="69"/>
      <c r="BE8" s="217" t="str">
        <f t="shared" ref="BE8" si="56">IFERROR(BE5-BE7,"")</f>
        <v/>
      </c>
      <c r="BF8" s="232"/>
      <c r="BG8" s="118"/>
      <c r="BH8" s="217" t="str">
        <f t="shared" ref="BH8" si="57">IFERROR(BH5-BH7,"")</f>
        <v/>
      </c>
      <c r="BI8" s="232"/>
      <c r="BJ8" s="118"/>
      <c r="BK8" s="217" t="str">
        <f t="shared" ref="BK8" si="58">IFERROR(BK5-BK7,"")</f>
        <v/>
      </c>
      <c r="BL8" s="232"/>
      <c r="BM8" s="118"/>
      <c r="BN8" s="217" t="str">
        <f t="shared" ref="BN8" si="59">IFERROR(BN5-BN7,"")</f>
        <v/>
      </c>
      <c r="BO8" s="232"/>
      <c r="BP8" s="93"/>
      <c r="BQ8" s="69"/>
      <c r="BR8" s="217" t="str">
        <f t="shared" ref="BR8" si="60">IFERROR(BR5-BR7,"")</f>
        <v/>
      </c>
      <c r="BS8" s="232"/>
      <c r="BT8" s="118"/>
      <c r="BU8" s="217" t="str">
        <f t="shared" ref="BU8" si="61">IFERROR(BU5-BU7,"")</f>
        <v/>
      </c>
      <c r="BV8" s="232"/>
      <c r="BW8" s="118"/>
      <c r="BX8" s="217" t="str">
        <f t="shared" ref="BX8" si="62">IFERROR(BX5-BX7,"")</f>
        <v/>
      </c>
      <c r="BY8" s="232"/>
      <c r="BZ8" s="118"/>
      <c r="CA8" s="217" t="str">
        <f t="shared" ref="CA8" si="63">IFERROR(CA5-CA7,"")</f>
        <v/>
      </c>
      <c r="CB8" s="232"/>
      <c r="CC8" s="93"/>
      <c r="CD8" s="69"/>
      <c r="CE8" s="217" t="str">
        <f t="shared" ref="CE8" si="64">IFERROR(CE5-CE7,"")</f>
        <v/>
      </c>
      <c r="CF8" s="232"/>
      <c r="CG8" s="118"/>
      <c r="CH8" s="217" t="str">
        <f t="shared" ref="CH8" si="65">IFERROR(CH5-CH7,"")</f>
        <v/>
      </c>
      <c r="CI8" s="232"/>
      <c r="CJ8" s="118"/>
      <c r="CK8" s="217" t="str">
        <f t="shared" ref="CK8" si="66">IFERROR(CK5-CK7,"")</f>
        <v/>
      </c>
      <c r="CL8" s="232"/>
      <c r="CM8" s="118"/>
      <c r="CN8" s="217" t="str">
        <f t="shared" ref="CN8" si="67">IFERROR(CN5-CN7,"")</f>
        <v/>
      </c>
      <c r="CO8" s="232"/>
      <c r="CP8" s="93"/>
      <c r="CQ8" s="69"/>
      <c r="CR8" s="217" t="str">
        <f t="shared" ref="CR8" si="68">IFERROR(CR5-CR7,"")</f>
        <v/>
      </c>
      <c r="CS8" s="232"/>
      <c r="CT8" s="118"/>
      <c r="CU8" s="217" t="str">
        <f t="shared" ref="CU8" si="69">IFERROR(CU5-CU7,"")</f>
        <v/>
      </c>
      <c r="CV8" s="232"/>
      <c r="CW8" s="118"/>
      <c r="CX8" s="217" t="str">
        <f t="shared" ref="CX8" si="70">IFERROR(CX5-CX7,"")</f>
        <v/>
      </c>
      <c r="CY8" s="232"/>
      <c r="CZ8" s="118"/>
      <c r="DA8" s="217" t="str">
        <f t="shared" ref="DA8" si="71">IFERROR(DA5-DA7,"")</f>
        <v/>
      </c>
      <c r="DB8" s="232"/>
      <c r="DC8" s="93"/>
      <c r="DD8" s="69"/>
      <c r="DE8" s="217" t="str">
        <f t="shared" ref="DE8" si="72">IFERROR(DE5-DE7,"")</f>
        <v/>
      </c>
      <c r="DF8" s="232"/>
      <c r="DG8" s="118"/>
      <c r="DH8" s="217" t="str">
        <f t="shared" ref="DH8" si="73">IFERROR(DH5-DH7,"")</f>
        <v/>
      </c>
      <c r="DI8" s="232"/>
      <c r="DJ8" s="118"/>
      <c r="DK8" s="217" t="str">
        <f t="shared" ref="DK8" si="74">IFERROR(DK5-DK7,"")</f>
        <v/>
      </c>
      <c r="DL8" s="232"/>
      <c r="DM8" s="118"/>
      <c r="DN8" s="217" t="str">
        <f t="shared" ref="DN8" si="75">IFERROR(DN5-DN7,"")</f>
        <v/>
      </c>
      <c r="DO8" s="232"/>
      <c r="DP8" s="93"/>
      <c r="DQ8" s="69"/>
      <c r="DR8" s="217" t="str">
        <f t="shared" ref="DR8" si="76">IFERROR(DR5-DR7,"")</f>
        <v/>
      </c>
      <c r="DS8" s="232"/>
      <c r="DT8" s="118"/>
      <c r="DU8" s="217" t="str">
        <f t="shared" ref="DU8" si="77">IFERROR(DU5-DU7,"")</f>
        <v/>
      </c>
      <c r="DV8" s="232"/>
      <c r="DW8" s="118"/>
      <c r="DX8" s="217" t="str">
        <f t="shared" ref="DX8" si="78">IFERROR(DX5-DX7,"")</f>
        <v/>
      </c>
      <c r="DY8" s="232"/>
      <c r="DZ8" s="118"/>
      <c r="EA8" s="217" t="str">
        <f t="shared" ref="EA8" si="79">IFERROR(EA5-EA7,"")</f>
        <v/>
      </c>
      <c r="EB8" s="232"/>
      <c r="EC8" s="93"/>
      <c r="ED8" s="69"/>
      <c r="EE8" s="217" t="str">
        <f t="shared" ref="EE8" si="80">IFERROR(EE5-EE7,"")</f>
        <v/>
      </c>
      <c r="EF8" s="232"/>
      <c r="EG8" s="118"/>
      <c r="EH8" s="217" t="str">
        <f t="shared" ref="EH8" si="81">IFERROR(EH5-EH7,"")</f>
        <v/>
      </c>
      <c r="EI8" s="232"/>
      <c r="EJ8" s="118"/>
      <c r="EK8" s="217" t="str">
        <f t="shared" ref="EK8" si="82">IFERROR(EK5-EK7,"")</f>
        <v/>
      </c>
      <c r="EL8" s="232"/>
      <c r="EM8" s="118"/>
      <c r="EN8" s="217" t="str">
        <f t="shared" ref="EN8" si="83">IFERROR(EN5-EN7,"")</f>
        <v/>
      </c>
      <c r="EO8" s="232"/>
      <c r="EP8" s="93"/>
      <c r="EQ8" s="69"/>
      <c r="ER8" s="217" t="str">
        <f t="shared" ref="ER8" si="84">IFERROR(ER5-ER7,"")</f>
        <v/>
      </c>
      <c r="ES8" s="232"/>
      <c r="ET8" s="118"/>
      <c r="EU8" s="217" t="str">
        <f t="shared" ref="EU8" si="85">IFERROR(EU5-EU7,"")</f>
        <v/>
      </c>
      <c r="EV8" s="232"/>
      <c r="EW8" s="118"/>
      <c r="EX8" s="217" t="str">
        <f t="shared" ref="EX8" si="86">IFERROR(EX5-EX7,"")</f>
        <v/>
      </c>
      <c r="EY8" s="232"/>
      <c r="EZ8" s="118"/>
      <c r="FA8" s="217" t="str">
        <f t="shared" ref="FA8" si="87">IFERROR(FA5-FA7,"")</f>
        <v/>
      </c>
      <c r="FB8" s="233"/>
    </row>
    <row r="9" spans="1:160" ht="16.5" thickTop="1" thickBot="1" x14ac:dyDescent="0.3">
      <c r="B9" s="255" t="s">
        <v>24</v>
      </c>
      <c r="C9" s="256"/>
      <c r="D9" s="69"/>
      <c r="E9" s="229"/>
      <c r="F9" s="230"/>
      <c r="G9" s="118"/>
      <c r="H9" s="229"/>
      <c r="I9" s="230"/>
      <c r="J9" s="118"/>
      <c r="K9" s="229"/>
      <c r="L9" s="230"/>
      <c r="M9" s="118"/>
      <c r="N9" s="229"/>
      <c r="O9" s="230"/>
      <c r="P9" s="93"/>
      <c r="Q9" s="69"/>
      <c r="R9" s="229"/>
      <c r="S9" s="230"/>
      <c r="T9" s="118"/>
      <c r="U9" s="229"/>
      <c r="V9" s="230"/>
      <c r="W9" s="118"/>
      <c r="X9" s="229"/>
      <c r="Y9" s="230"/>
      <c r="Z9" s="118"/>
      <c r="AA9" s="229"/>
      <c r="AB9" s="230"/>
      <c r="AC9" s="93"/>
      <c r="AD9" s="69"/>
      <c r="AE9" s="229"/>
      <c r="AF9" s="230"/>
      <c r="AG9" s="118"/>
      <c r="AH9" s="229"/>
      <c r="AI9" s="230"/>
      <c r="AJ9" s="118"/>
      <c r="AK9" s="229"/>
      <c r="AL9" s="230"/>
      <c r="AM9" s="118"/>
      <c r="AN9" s="229"/>
      <c r="AO9" s="230"/>
      <c r="AP9" s="93"/>
      <c r="AQ9" s="69"/>
      <c r="AR9" s="229"/>
      <c r="AS9" s="230"/>
      <c r="AT9" s="118"/>
      <c r="AU9" s="229"/>
      <c r="AV9" s="230"/>
      <c r="AW9" s="118"/>
      <c r="AX9" s="229"/>
      <c r="AY9" s="230"/>
      <c r="AZ9" s="118"/>
      <c r="BA9" s="229"/>
      <c r="BB9" s="230"/>
      <c r="BC9" s="93"/>
      <c r="BD9" s="69"/>
      <c r="BE9" s="229"/>
      <c r="BF9" s="230"/>
      <c r="BG9" s="118"/>
      <c r="BH9" s="229"/>
      <c r="BI9" s="230"/>
      <c r="BJ9" s="118"/>
      <c r="BK9" s="229"/>
      <c r="BL9" s="230"/>
      <c r="BM9" s="118"/>
      <c r="BN9" s="229"/>
      <c r="BO9" s="230"/>
      <c r="BP9" s="93"/>
      <c r="BQ9" s="69"/>
      <c r="BR9" s="229"/>
      <c r="BS9" s="230"/>
      <c r="BT9" s="118"/>
      <c r="BU9" s="229"/>
      <c r="BV9" s="230"/>
      <c r="BW9" s="118"/>
      <c r="BX9" s="229"/>
      <c r="BY9" s="230"/>
      <c r="BZ9" s="118"/>
      <c r="CA9" s="229"/>
      <c r="CB9" s="230"/>
      <c r="CC9" s="93"/>
      <c r="CD9" s="69"/>
      <c r="CE9" s="229"/>
      <c r="CF9" s="230"/>
      <c r="CG9" s="118"/>
      <c r="CH9" s="229"/>
      <c r="CI9" s="230"/>
      <c r="CJ9" s="118"/>
      <c r="CK9" s="229"/>
      <c r="CL9" s="230"/>
      <c r="CM9" s="118"/>
      <c r="CN9" s="229"/>
      <c r="CO9" s="230"/>
      <c r="CP9" s="93"/>
      <c r="CQ9" s="69"/>
      <c r="CR9" s="229"/>
      <c r="CS9" s="230"/>
      <c r="CT9" s="118"/>
      <c r="CU9" s="229"/>
      <c r="CV9" s="230"/>
      <c r="CW9" s="118"/>
      <c r="CX9" s="229"/>
      <c r="CY9" s="230"/>
      <c r="CZ9" s="118"/>
      <c r="DA9" s="229"/>
      <c r="DB9" s="230"/>
      <c r="DC9" s="93"/>
      <c r="DD9" s="69"/>
      <c r="DE9" s="229"/>
      <c r="DF9" s="230"/>
      <c r="DG9" s="118"/>
      <c r="DH9" s="229"/>
      <c r="DI9" s="230"/>
      <c r="DJ9" s="118"/>
      <c r="DK9" s="229"/>
      <c r="DL9" s="230"/>
      <c r="DM9" s="118"/>
      <c r="DN9" s="229"/>
      <c r="DO9" s="230"/>
      <c r="DP9" s="93"/>
      <c r="DQ9" s="69"/>
      <c r="DR9" s="229"/>
      <c r="DS9" s="230"/>
      <c r="DT9" s="118"/>
      <c r="DU9" s="229"/>
      <c r="DV9" s="230"/>
      <c r="DW9" s="118"/>
      <c r="DX9" s="229"/>
      <c r="DY9" s="230"/>
      <c r="DZ9" s="118"/>
      <c r="EA9" s="229"/>
      <c r="EB9" s="230"/>
      <c r="EC9" s="93"/>
      <c r="ED9" s="69"/>
      <c r="EE9" s="229"/>
      <c r="EF9" s="230"/>
      <c r="EG9" s="118"/>
      <c r="EH9" s="229"/>
      <c r="EI9" s="230"/>
      <c r="EJ9" s="118"/>
      <c r="EK9" s="229"/>
      <c r="EL9" s="230"/>
      <c r="EM9" s="118"/>
      <c r="EN9" s="229"/>
      <c r="EO9" s="230"/>
      <c r="EP9" s="93"/>
      <c r="EQ9" s="69"/>
      <c r="ER9" s="229"/>
      <c r="ES9" s="230"/>
      <c r="ET9" s="118"/>
      <c r="EU9" s="229"/>
      <c r="EV9" s="230"/>
      <c r="EW9" s="118"/>
      <c r="EX9" s="229"/>
      <c r="EY9" s="230"/>
      <c r="EZ9" s="118"/>
      <c r="FA9" s="229"/>
      <c r="FB9" s="231"/>
    </row>
    <row r="10" spans="1:160" ht="16.5" thickTop="1" thickBot="1" x14ac:dyDescent="0.3">
      <c r="B10" s="261" t="s">
        <v>14</v>
      </c>
      <c r="C10" s="262"/>
      <c r="D10" s="69"/>
      <c r="E10" s="226">
        <v>0.3</v>
      </c>
      <c r="F10" s="227"/>
      <c r="G10" s="123"/>
      <c r="H10" s="226">
        <v>0.3</v>
      </c>
      <c r="I10" s="227"/>
      <c r="J10" s="123"/>
      <c r="K10" s="226">
        <v>0.3</v>
      </c>
      <c r="L10" s="227"/>
      <c r="M10" s="123"/>
      <c r="N10" s="226">
        <v>0.3</v>
      </c>
      <c r="O10" s="227"/>
      <c r="P10" s="93"/>
      <c r="Q10" s="69"/>
      <c r="R10" s="226">
        <v>0.3</v>
      </c>
      <c r="S10" s="227"/>
      <c r="T10" s="123"/>
      <c r="U10" s="226">
        <v>0.3</v>
      </c>
      <c r="V10" s="227"/>
      <c r="W10" s="123"/>
      <c r="X10" s="226">
        <v>0.3</v>
      </c>
      <c r="Y10" s="227"/>
      <c r="Z10" s="123"/>
      <c r="AA10" s="226">
        <v>0.3</v>
      </c>
      <c r="AB10" s="227"/>
      <c r="AC10" s="93"/>
      <c r="AD10" s="69"/>
      <c r="AE10" s="226">
        <v>0.3</v>
      </c>
      <c r="AF10" s="227"/>
      <c r="AG10" s="123"/>
      <c r="AH10" s="226">
        <v>0.3</v>
      </c>
      <c r="AI10" s="227"/>
      <c r="AJ10" s="123"/>
      <c r="AK10" s="226">
        <v>0.3</v>
      </c>
      <c r="AL10" s="227"/>
      <c r="AM10" s="123"/>
      <c r="AN10" s="226">
        <v>0.3</v>
      </c>
      <c r="AO10" s="227"/>
      <c r="AP10" s="93"/>
      <c r="AQ10" s="69"/>
      <c r="AR10" s="226">
        <v>0.3</v>
      </c>
      <c r="AS10" s="227"/>
      <c r="AT10" s="123"/>
      <c r="AU10" s="226">
        <v>0.3</v>
      </c>
      <c r="AV10" s="227"/>
      <c r="AW10" s="123"/>
      <c r="AX10" s="226">
        <v>0.3</v>
      </c>
      <c r="AY10" s="227"/>
      <c r="AZ10" s="123"/>
      <c r="BA10" s="226">
        <v>0.3</v>
      </c>
      <c r="BB10" s="227"/>
      <c r="BC10" s="93"/>
      <c r="BD10" s="69"/>
      <c r="BE10" s="226">
        <v>0.3</v>
      </c>
      <c r="BF10" s="227"/>
      <c r="BG10" s="123"/>
      <c r="BH10" s="226">
        <v>0.3</v>
      </c>
      <c r="BI10" s="227"/>
      <c r="BJ10" s="123"/>
      <c r="BK10" s="226">
        <v>0.3</v>
      </c>
      <c r="BL10" s="227"/>
      <c r="BM10" s="123"/>
      <c r="BN10" s="226">
        <v>0.3</v>
      </c>
      <c r="BO10" s="227"/>
      <c r="BP10" s="93"/>
      <c r="BQ10" s="69"/>
      <c r="BR10" s="226">
        <v>0.3</v>
      </c>
      <c r="BS10" s="227"/>
      <c r="BT10" s="123"/>
      <c r="BU10" s="226">
        <v>0.3</v>
      </c>
      <c r="BV10" s="227"/>
      <c r="BW10" s="123"/>
      <c r="BX10" s="226">
        <v>0.3</v>
      </c>
      <c r="BY10" s="227"/>
      <c r="BZ10" s="123"/>
      <c r="CA10" s="226">
        <v>0.3</v>
      </c>
      <c r="CB10" s="227"/>
      <c r="CC10" s="93"/>
      <c r="CD10" s="69"/>
      <c r="CE10" s="226">
        <v>0.3</v>
      </c>
      <c r="CF10" s="227"/>
      <c r="CG10" s="123"/>
      <c r="CH10" s="226">
        <v>0.3</v>
      </c>
      <c r="CI10" s="227"/>
      <c r="CJ10" s="123"/>
      <c r="CK10" s="226">
        <v>0.3</v>
      </c>
      <c r="CL10" s="227"/>
      <c r="CM10" s="123"/>
      <c r="CN10" s="226">
        <v>0.3</v>
      </c>
      <c r="CO10" s="227"/>
      <c r="CP10" s="93"/>
      <c r="CQ10" s="69"/>
      <c r="CR10" s="226">
        <v>0.3</v>
      </c>
      <c r="CS10" s="227"/>
      <c r="CT10" s="123"/>
      <c r="CU10" s="226">
        <v>0.3</v>
      </c>
      <c r="CV10" s="227"/>
      <c r="CW10" s="123"/>
      <c r="CX10" s="226">
        <v>0.3</v>
      </c>
      <c r="CY10" s="227"/>
      <c r="CZ10" s="123"/>
      <c r="DA10" s="226">
        <v>0.3</v>
      </c>
      <c r="DB10" s="227"/>
      <c r="DC10" s="93"/>
      <c r="DD10" s="69"/>
      <c r="DE10" s="226">
        <v>0.3</v>
      </c>
      <c r="DF10" s="227"/>
      <c r="DG10" s="123"/>
      <c r="DH10" s="226">
        <v>0.3</v>
      </c>
      <c r="DI10" s="227"/>
      <c r="DJ10" s="123"/>
      <c r="DK10" s="226">
        <v>0.3</v>
      </c>
      <c r="DL10" s="227"/>
      <c r="DM10" s="123"/>
      <c r="DN10" s="226">
        <v>0.3</v>
      </c>
      <c r="DO10" s="227"/>
      <c r="DP10" s="93"/>
      <c r="DQ10" s="69"/>
      <c r="DR10" s="226">
        <v>0.3</v>
      </c>
      <c r="DS10" s="227"/>
      <c r="DT10" s="123"/>
      <c r="DU10" s="226">
        <v>0.3</v>
      </c>
      <c r="DV10" s="227"/>
      <c r="DW10" s="123"/>
      <c r="DX10" s="226">
        <v>0.3</v>
      </c>
      <c r="DY10" s="227"/>
      <c r="DZ10" s="123"/>
      <c r="EA10" s="226">
        <v>0.3</v>
      </c>
      <c r="EB10" s="227"/>
      <c r="EC10" s="93"/>
      <c r="ED10" s="69"/>
      <c r="EE10" s="226">
        <v>0.3</v>
      </c>
      <c r="EF10" s="227"/>
      <c r="EG10" s="123"/>
      <c r="EH10" s="226">
        <v>0.3</v>
      </c>
      <c r="EI10" s="227"/>
      <c r="EJ10" s="123"/>
      <c r="EK10" s="226">
        <v>0.3</v>
      </c>
      <c r="EL10" s="227"/>
      <c r="EM10" s="123"/>
      <c r="EN10" s="226">
        <v>0.3</v>
      </c>
      <c r="EO10" s="227"/>
      <c r="EP10" s="93"/>
      <c r="EQ10" s="69"/>
      <c r="ER10" s="226">
        <v>0.3</v>
      </c>
      <c r="ES10" s="227"/>
      <c r="ET10" s="123"/>
      <c r="EU10" s="226">
        <v>0.3</v>
      </c>
      <c r="EV10" s="227"/>
      <c r="EW10" s="123"/>
      <c r="EX10" s="226">
        <v>0.3</v>
      </c>
      <c r="EY10" s="227"/>
      <c r="EZ10" s="123"/>
      <c r="FA10" s="226">
        <v>0.3</v>
      </c>
      <c r="FB10" s="228"/>
    </row>
    <row r="11" spans="1:160" ht="16.5" thickTop="1" thickBot="1" x14ac:dyDescent="0.3">
      <c r="B11" s="245" t="s">
        <v>16</v>
      </c>
      <c r="C11" s="246"/>
      <c r="D11" s="69"/>
      <c r="E11" s="223">
        <f>IFERROR(IF(E9&lt;&gt;"",ROUNDDOWN(E9*E10,-1),ROUNDDOWN(E8*E10,-1)),"")</f>
        <v>50</v>
      </c>
      <c r="F11" s="224"/>
      <c r="G11" s="118"/>
      <c r="H11" s="223" t="str">
        <f>IFERROR(IF(H9&lt;&gt;"",ROUNDDOWN(H9*H10,-1),ROUNDDOWN(H8*H10,-1)),"")</f>
        <v/>
      </c>
      <c r="I11" s="224"/>
      <c r="J11" s="73"/>
      <c r="K11" s="223" t="str">
        <f>IFERROR(IF(K9&lt;&gt;"",ROUNDDOWN(K9*K10,-1),ROUNDDOWN(K8*K10,-1)),"")</f>
        <v/>
      </c>
      <c r="L11" s="224"/>
      <c r="M11" s="73"/>
      <c r="N11" s="223" t="str">
        <f>IFERROR(IF(N9&lt;&gt;"",ROUNDDOWN(N9*N10,-1),ROUNDDOWN(N8*N10,-1)),"")</f>
        <v/>
      </c>
      <c r="O11" s="224"/>
      <c r="P11" s="93"/>
      <c r="Q11" s="69"/>
      <c r="R11" s="223" t="str">
        <f t="shared" ref="R11" si="88">IFERROR(IF(R9&lt;&gt;"",ROUNDDOWN(R9*R10,-1),ROUNDDOWN(R8*R10,-1)),"")</f>
        <v/>
      </c>
      <c r="S11" s="224"/>
      <c r="T11" s="118"/>
      <c r="U11" s="223" t="str">
        <f t="shared" ref="U11" si="89">IFERROR(IF(U9&lt;&gt;"",ROUNDDOWN(U9*U10,-1),ROUNDDOWN(U8*U10,-1)),"")</f>
        <v/>
      </c>
      <c r="V11" s="224"/>
      <c r="W11" s="73"/>
      <c r="X11" s="223" t="str">
        <f t="shared" ref="X11" si="90">IFERROR(IF(X9&lt;&gt;"",ROUNDDOWN(X9*X10,-1),ROUNDDOWN(X8*X10,-1)),"")</f>
        <v/>
      </c>
      <c r="Y11" s="224"/>
      <c r="Z11" s="73"/>
      <c r="AA11" s="223" t="str">
        <f t="shared" ref="AA11" si="91">IFERROR(IF(AA9&lt;&gt;"",ROUNDDOWN(AA9*AA10,-1),ROUNDDOWN(AA8*AA10,-1)),"")</f>
        <v/>
      </c>
      <c r="AB11" s="224"/>
      <c r="AC11" s="93"/>
      <c r="AD11" s="69"/>
      <c r="AE11" s="223" t="str">
        <f t="shared" ref="AE11" si="92">IFERROR(IF(AE9&lt;&gt;"",ROUNDDOWN(AE9*AE10,-1),ROUNDDOWN(AE8*AE10,-1)),"")</f>
        <v/>
      </c>
      <c r="AF11" s="224"/>
      <c r="AG11" s="118"/>
      <c r="AH11" s="223" t="str">
        <f t="shared" ref="AH11" si="93">IFERROR(IF(AH9&lt;&gt;"",ROUNDDOWN(AH9*AH10,-1),ROUNDDOWN(AH8*AH10,-1)),"")</f>
        <v/>
      </c>
      <c r="AI11" s="224"/>
      <c r="AJ11" s="73"/>
      <c r="AK11" s="223" t="str">
        <f t="shared" ref="AK11" si="94">IFERROR(IF(AK9&lt;&gt;"",ROUNDDOWN(AK9*AK10,-1),ROUNDDOWN(AK8*AK10,-1)),"")</f>
        <v/>
      </c>
      <c r="AL11" s="224"/>
      <c r="AM11" s="73"/>
      <c r="AN11" s="223" t="str">
        <f t="shared" ref="AN11" si="95">IFERROR(IF(AN9&lt;&gt;"",ROUNDDOWN(AN9*AN10,-1),ROUNDDOWN(AN8*AN10,-1)),"")</f>
        <v/>
      </c>
      <c r="AO11" s="224"/>
      <c r="AP11" s="93"/>
      <c r="AQ11" s="69"/>
      <c r="AR11" s="223" t="str">
        <f t="shared" ref="AR11" si="96">IFERROR(IF(AR9&lt;&gt;"",ROUNDDOWN(AR9*AR10,-1),ROUNDDOWN(AR8*AR10,-1)),"")</f>
        <v/>
      </c>
      <c r="AS11" s="224"/>
      <c r="AT11" s="118"/>
      <c r="AU11" s="223" t="str">
        <f t="shared" ref="AU11" si="97">IFERROR(IF(AU9&lt;&gt;"",ROUNDDOWN(AU9*AU10,-1),ROUNDDOWN(AU8*AU10,-1)),"")</f>
        <v/>
      </c>
      <c r="AV11" s="224"/>
      <c r="AW11" s="73"/>
      <c r="AX11" s="223" t="str">
        <f t="shared" ref="AX11" si="98">IFERROR(IF(AX9&lt;&gt;"",ROUNDDOWN(AX9*AX10,-1),ROUNDDOWN(AX8*AX10,-1)),"")</f>
        <v/>
      </c>
      <c r="AY11" s="224"/>
      <c r="AZ11" s="73"/>
      <c r="BA11" s="223" t="str">
        <f t="shared" ref="BA11" si="99">IFERROR(IF(BA9&lt;&gt;"",ROUNDDOWN(BA9*BA10,-1),ROUNDDOWN(BA8*BA10,-1)),"")</f>
        <v/>
      </c>
      <c r="BB11" s="224"/>
      <c r="BC11" s="93"/>
      <c r="BD11" s="69"/>
      <c r="BE11" s="223" t="str">
        <f t="shared" ref="BE11" si="100">IFERROR(IF(BE9&lt;&gt;"",ROUNDDOWN(BE9*BE10,-1),ROUNDDOWN(BE8*BE10,-1)),"")</f>
        <v/>
      </c>
      <c r="BF11" s="224"/>
      <c r="BG11" s="118"/>
      <c r="BH11" s="223" t="str">
        <f t="shared" ref="BH11" si="101">IFERROR(IF(BH9&lt;&gt;"",ROUNDDOWN(BH9*BH10,-1),ROUNDDOWN(BH8*BH10,-1)),"")</f>
        <v/>
      </c>
      <c r="BI11" s="224"/>
      <c r="BJ11" s="73"/>
      <c r="BK11" s="223" t="str">
        <f t="shared" ref="BK11" si="102">IFERROR(IF(BK9&lt;&gt;"",ROUNDDOWN(BK9*BK10,-1),ROUNDDOWN(BK8*BK10,-1)),"")</f>
        <v/>
      </c>
      <c r="BL11" s="224"/>
      <c r="BM11" s="73"/>
      <c r="BN11" s="223" t="str">
        <f t="shared" ref="BN11" si="103">IFERROR(IF(BN9&lt;&gt;"",ROUNDDOWN(BN9*BN10,-1),ROUNDDOWN(BN8*BN10,-1)),"")</f>
        <v/>
      </c>
      <c r="BO11" s="224"/>
      <c r="BP11" s="93"/>
      <c r="BQ11" s="69"/>
      <c r="BR11" s="223" t="str">
        <f t="shared" ref="BR11" si="104">IFERROR(IF(BR9&lt;&gt;"",ROUNDDOWN(BR9*BR10,-1),ROUNDDOWN(BR8*BR10,-1)),"")</f>
        <v/>
      </c>
      <c r="BS11" s="224"/>
      <c r="BT11" s="118"/>
      <c r="BU11" s="223" t="str">
        <f t="shared" ref="BU11" si="105">IFERROR(IF(BU9&lt;&gt;"",ROUNDDOWN(BU9*BU10,-1),ROUNDDOWN(BU8*BU10,-1)),"")</f>
        <v/>
      </c>
      <c r="BV11" s="224"/>
      <c r="BW11" s="73"/>
      <c r="BX11" s="223" t="str">
        <f t="shared" ref="BX11" si="106">IFERROR(IF(BX9&lt;&gt;"",ROUNDDOWN(BX9*BX10,-1),ROUNDDOWN(BX8*BX10,-1)),"")</f>
        <v/>
      </c>
      <c r="BY11" s="224"/>
      <c r="BZ11" s="73"/>
      <c r="CA11" s="223" t="str">
        <f t="shared" ref="CA11" si="107">IFERROR(IF(CA9&lt;&gt;"",ROUNDDOWN(CA9*CA10,-1),ROUNDDOWN(CA8*CA10,-1)),"")</f>
        <v/>
      </c>
      <c r="CB11" s="224"/>
      <c r="CC11" s="93"/>
      <c r="CD11" s="69"/>
      <c r="CE11" s="223" t="str">
        <f t="shared" ref="CE11" si="108">IFERROR(IF(CE9&lt;&gt;"",ROUNDDOWN(CE9*CE10,-1),ROUNDDOWN(CE8*CE10,-1)),"")</f>
        <v/>
      </c>
      <c r="CF11" s="224"/>
      <c r="CG11" s="118"/>
      <c r="CH11" s="223" t="str">
        <f t="shared" ref="CH11" si="109">IFERROR(IF(CH9&lt;&gt;"",ROUNDDOWN(CH9*CH10,-1),ROUNDDOWN(CH8*CH10,-1)),"")</f>
        <v/>
      </c>
      <c r="CI11" s="224"/>
      <c r="CJ11" s="73"/>
      <c r="CK11" s="223" t="str">
        <f t="shared" ref="CK11" si="110">IFERROR(IF(CK9&lt;&gt;"",ROUNDDOWN(CK9*CK10,-1),ROUNDDOWN(CK8*CK10,-1)),"")</f>
        <v/>
      </c>
      <c r="CL11" s="224"/>
      <c r="CM11" s="73"/>
      <c r="CN11" s="223" t="str">
        <f t="shared" ref="CN11" si="111">IFERROR(IF(CN9&lt;&gt;"",ROUNDDOWN(CN9*CN10,-1),ROUNDDOWN(CN8*CN10,-1)),"")</f>
        <v/>
      </c>
      <c r="CO11" s="224"/>
      <c r="CP11" s="93"/>
      <c r="CQ11" s="69"/>
      <c r="CR11" s="223" t="str">
        <f t="shared" ref="CR11" si="112">IFERROR(IF(CR9&lt;&gt;"",ROUNDDOWN(CR9*CR10,-1),ROUNDDOWN(CR8*CR10,-1)),"")</f>
        <v/>
      </c>
      <c r="CS11" s="224"/>
      <c r="CT11" s="118"/>
      <c r="CU11" s="223" t="str">
        <f t="shared" ref="CU11" si="113">IFERROR(IF(CU9&lt;&gt;"",ROUNDDOWN(CU9*CU10,-1),ROUNDDOWN(CU8*CU10,-1)),"")</f>
        <v/>
      </c>
      <c r="CV11" s="224"/>
      <c r="CW11" s="73"/>
      <c r="CX11" s="223" t="str">
        <f t="shared" ref="CX11" si="114">IFERROR(IF(CX9&lt;&gt;"",ROUNDDOWN(CX9*CX10,-1),ROUNDDOWN(CX8*CX10,-1)),"")</f>
        <v/>
      </c>
      <c r="CY11" s="224"/>
      <c r="CZ11" s="73"/>
      <c r="DA11" s="223" t="str">
        <f t="shared" ref="DA11" si="115">IFERROR(IF(DA9&lt;&gt;"",ROUNDDOWN(DA9*DA10,-1),ROUNDDOWN(DA8*DA10,-1)),"")</f>
        <v/>
      </c>
      <c r="DB11" s="224"/>
      <c r="DC11" s="93"/>
      <c r="DD11" s="69"/>
      <c r="DE11" s="223" t="str">
        <f t="shared" ref="DE11" si="116">IFERROR(IF(DE9&lt;&gt;"",ROUNDDOWN(DE9*DE10,-1),ROUNDDOWN(DE8*DE10,-1)),"")</f>
        <v/>
      </c>
      <c r="DF11" s="224"/>
      <c r="DG11" s="118"/>
      <c r="DH11" s="223" t="str">
        <f t="shared" ref="DH11" si="117">IFERROR(IF(DH9&lt;&gt;"",ROUNDDOWN(DH9*DH10,-1),ROUNDDOWN(DH8*DH10,-1)),"")</f>
        <v/>
      </c>
      <c r="DI11" s="224"/>
      <c r="DJ11" s="73"/>
      <c r="DK11" s="223" t="str">
        <f t="shared" ref="DK11" si="118">IFERROR(IF(DK9&lt;&gt;"",ROUNDDOWN(DK9*DK10,-1),ROUNDDOWN(DK8*DK10,-1)),"")</f>
        <v/>
      </c>
      <c r="DL11" s="224"/>
      <c r="DM11" s="73"/>
      <c r="DN11" s="223" t="str">
        <f t="shared" ref="DN11" si="119">IFERROR(IF(DN9&lt;&gt;"",ROUNDDOWN(DN9*DN10,-1),ROUNDDOWN(DN8*DN10,-1)),"")</f>
        <v/>
      </c>
      <c r="DO11" s="224"/>
      <c r="DP11" s="93"/>
      <c r="DQ11" s="69"/>
      <c r="DR11" s="223" t="str">
        <f t="shared" ref="DR11" si="120">IFERROR(IF(DR9&lt;&gt;"",ROUNDDOWN(DR9*DR10,-1),ROUNDDOWN(DR8*DR10,-1)),"")</f>
        <v/>
      </c>
      <c r="DS11" s="224"/>
      <c r="DT11" s="118"/>
      <c r="DU11" s="223" t="str">
        <f t="shared" ref="DU11" si="121">IFERROR(IF(DU9&lt;&gt;"",ROUNDDOWN(DU9*DU10,-1),ROUNDDOWN(DU8*DU10,-1)),"")</f>
        <v/>
      </c>
      <c r="DV11" s="224"/>
      <c r="DW11" s="73"/>
      <c r="DX11" s="223" t="str">
        <f t="shared" ref="DX11" si="122">IFERROR(IF(DX9&lt;&gt;"",ROUNDDOWN(DX9*DX10,-1),ROUNDDOWN(DX8*DX10,-1)),"")</f>
        <v/>
      </c>
      <c r="DY11" s="224"/>
      <c r="DZ11" s="73"/>
      <c r="EA11" s="223" t="str">
        <f t="shared" ref="EA11" si="123">IFERROR(IF(EA9&lt;&gt;"",ROUNDDOWN(EA9*EA10,-1),ROUNDDOWN(EA8*EA10,-1)),"")</f>
        <v/>
      </c>
      <c r="EB11" s="224"/>
      <c r="EC11" s="93"/>
      <c r="ED11" s="69"/>
      <c r="EE11" s="223" t="str">
        <f t="shared" ref="EE11" si="124">IFERROR(IF(EE9&lt;&gt;"",ROUNDDOWN(EE9*EE10,-1),ROUNDDOWN(EE8*EE10,-1)),"")</f>
        <v/>
      </c>
      <c r="EF11" s="224"/>
      <c r="EG11" s="118"/>
      <c r="EH11" s="223" t="str">
        <f t="shared" ref="EH11" si="125">IFERROR(IF(EH9&lt;&gt;"",ROUNDDOWN(EH9*EH10,-1),ROUNDDOWN(EH8*EH10,-1)),"")</f>
        <v/>
      </c>
      <c r="EI11" s="224"/>
      <c r="EJ11" s="73"/>
      <c r="EK11" s="223" t="str">
        <f t="shared" ref="EK11" si="126">IFERROR(IF(EK9&lt;&gt;"",ROUNDDOWN(EK9*EK10,-1),ROUNDDOWN(EK8*EK10,-1)),"")</f>
        <v/>
      </c>
      <c r="EL11" s="224"/>
      <c r="EM11" s="73"/>
      <c r="EN11" s="223" t="str">
        <f t="shared" ref="EN11" si="127">IFERROR(IF(EN9&lt;&gt;"",ROUNDDOWN(EN9*EN10,-1),ROUNDDOWN(EN8*EN10,-1)),"")</f>
        <v/>
      </c>
      <c r="EO11" s="224"/>
      <c r="EP11" s="93"/>
      <c r="EQ11" s="69"/>
      <c r="ER11" s="223" t="str">
        <f t="shared" ref="ER11" si="128">IFERROR(IF(ER9&lt;&gt;"",ROUNDDOWN(ER9*ER10,-1),ROUNDDOWN(ER8*ER10,-1)),"")</f>
        <v/>
      </c>
      <c r="ES11" s="224"/>
      <c r="ET11" s="118"/>
      <c r="EU11" s="223" t="str">
        <f t="shared" ref="EU11" si="129">IFERROR(IF(EU9&lt;&gt;"",ROUNDDOWN(EU9*EU10,-1),ROUNDDOWN(EU8*EU10,-1)),"")</f>
        <v/>
      </c>
      <c r="EV11" s="224"/>
      <c r="EW11" s="73"/>
      <c r="EX11" s="223" t="str">
        <f t="shared" ref="EX11" si="130">IFERROR(IF(EX9&lt;&gt;"",ROUNDDOWN(EX9*EX10,-1),ROUNDDOWN(EX8*EX10,-1)),"")</f>
        <v/>
      </c>
      <c r="EY11" s="224"/>
      <c r="EZ11" s="73"/>
      <c r="FA11" s="223" t="str">
        <f t="shared" ref="FA11" si="131">IFERROR(IF(FA9&lt;&gt;"",ROUNDDOWN(FA9*FA10,-1),ROUNDDOWN(FA8*FA10,-1)),"")</f>
        <v/>
      </c>
      <c r="FB11" s="225"/>
    </row>
    <row r="12" spans="1:160" ht="16.5" thickTop="1" thickBot="1" x14ac:dyDescent="0.3">
      <c r="B12" s="247" t="s">
        <v>17</v>
      </c>
      <c r="C12" s="248"/>
      <c r="D12" s="69"/>
      <c r="E12" s="220">
        <f>IFERROR(IF(E9&lt;&gt;"",E9-E11,E8-E11),"")</f>
        <v>121</v>
      </c>
      <c r="F12" s="222"/>
      <c r="G12" s="73"/>
      <c r="H12" s="220" t="str">
        <f>IFERROR(IF(H9&lt;&gt;"",H9-H11,H8-H11),"")</f>
        <v/>
      </c>
      <c r="I12" s="222"/>
      <c r="J12" s="73"/>
      <c r="K12" s="220" t="str">
        <f>IFERROR(IF(K9&lt;&gt;"",K9-K11,K8-K11),"")</f>
        <v/>
      </c>
      <c r="L12" s="222"/>
      <c r="M12" s="73"/>
      <c r="N12" s="220" t="str">
        <f>IFERROR(IF(N9&lt;&gt;"",N9-N11,N8-N11),"")</f>
        <v/>
      </c>
      <c r="O12" s="222"/>
      <c r="P12" s="93"/>
      <c r="Q12" s="69"/>
      <c r="R12" s="220" t="str">
        <f t="shared" ref="R12" si="132">IFERROR(IF(R9&lt;&gt;"",R9-R11,R8-R11),"")</f>
        <v/>
      </c>
      <c r="S12" s="222"/>
      <c r="T12" s="73"/>
      <c r="U12" s="220" t="str">
        <f t="shared" ref="U12" si="133">IFERROR(IF(U9&lt;&gt;"",U9-U11,U8-U11),"")</f>
        <v/>
      </c>
      <c r="V12" s="222"/>
      <c r="W12" s="73"/>
      <c r="X12" s="220" t="str">
        <f t="shared" ref="X12" si="134">IFERROR(IF(X9&lt;&gt;"",X9-X11,X8-X11),"")</f>
        <v/>
      </c>
      <c r="Y12" s="222"/>
      <c r="Z12" s="73"/>
      <c r="AA12" s="220" t="str">
        <f t="shared" ref="AA12" si="135">IFERROR(IF(AA9&lt;&gt;"",AA9-AA11,AA8-AA11),"")</f>
        <v/>
      </c>
      <c r="AB12" s="222"/>
      <c r="AC12" s="93"/>
      <c r="AD12" s="69"/>
      <c r="AE12" s="220" t="str">
        <f t="shared" ref="AE12" si="136">IFERROR(IF(AE9&lt;&gt;"",AE9-AE11,AE8-AE11),"")</f>
        <v/>
      </c>
      <c r="AF12" s="222"/>
      <c r="AG12" s="73"/>
      <c r="AH12" s="220" t="str">
        <f t="shared" ref="AH12" si="137">IFERROR(IF(AH9&lt;&gt;"",AH9-AH11,AH8-AH11),"")</f>
        <v/>
      </c>
      <c r="AI12" s="222"/>
      <c r="AJ12" s="73"/>
      <c r="AK12" s="220" t="str">
        <f t="shared" ref="AK12" si="138">IFERROR(IF(AK9&lt;&gt;"",AK9-AK11,AK8-AK11),"")</f>
        <v/>
      </c>
      <c r="AL12" s="222"/>
      <c r="AM12" s="73"/>
      <c r="AN12" s="220" t="str">
        <f t="shared" ref="AN12" si="139">IFERROR(IF(AN9&lt;&gt;"",AN9-AN11,AN8-AN11),"")</f>
        <v/>
      </c>
      <c r="AO12" s="222"/>
      <c r="AP12" s="93"/>
      <c r="AQ12" s="69"/>
      <c r="AR12" s="220" t="str">
        <f t="shared" ref="AR12" si="140">IFERROR(IF(AR9&lt;&gt;"",AR9-AR11,AR8-AR11),"")</f>
        <v/>
      </c>
      <c r="AS12" s="222"/>
      <c r="AT12" s="73"/>
      <c r="AU12" s="220" t="str">
        <f t="shared" ref="AU12" si="141">IFERROR(IF(AU9&lt;&gt;"",AU9-AU11,AU8-AU11),"")</f>
        <v/>
      </c>
      <c r="AV12" s="222"/>
      <c r="AW12" s="73"/>
      <c r="AX12" s="220" t="str">
        <f t="shared" ref="AX12" si="142">IFERROR(IF(AX9&lt;&gt;"",AX9-AX11,AX8-AX11),"")</f>
        <v/>
      </c>
      <c r="AY12" s="222"/>
      <c r="AZ12" s="73"/>
      <c r="BA12" s="220" t="str">
        <f t="shared" ref="BA12" si="143">IFERROR(IF(BA9&lt;&gt;"",BA9-BA11,BA8-BA11),"")</f>
        <v/>
      </c>
      <c r="BB12" s="222"/>
      <c r="BC12" s="93"/>
      <c r="BD12" s="69"/>
      <c r="BE12" s="220" t="str">
        <f t="shared" ref="BE12" si="144">IFERROR(IF(BE9&lt;&gt;"",BE9-BE11,BE8-BE11),"")</f>
        <v/>
      </c>
      <c r="BF12" s="222"/>
      <c r="BG12" s="73"/>
      <c r="BH12" s="220" t="str">
        <f t="shared" ref="BH12" si="145">IFERROR(IF(BH9&lt;&gt;"",BH9-BH11,BH8-BH11),"")</f>
        <v/>
      </c>
      <c r="BI12" s="222"/>
      <c r="BJ12" s="73"/>
      <c r="BK12" s="220" t="str">
        <f t="shared" ref="BK12" si="146">IFERROR(IF(BK9&lt;&gt;"",BK9-BK11,BK8-BK11),"")</f>
        <v/>
      </c>
      <c r="BL12" s="222"/>
      <c r="BM12" s="73"/>
      <c r="BN12" s="220" t="str">
        <f t="shared" ref="BN12" si="147">IFERROR(IF(BN9&lt;&gt;"",BN9-BN11,BN8-BN11),"")</f>
        <v/>
      </c>
      <c r="BO12" s="222"/>
      <c r="BP12" s="93"/>
      <c r="BQ12" s="69"/>
      <c r="BR12" s="220" t="str">
        <f t="shared" ref="BR12" si="148">IFERROR(IF(BR9&lt;&gt;"",BR9-BR11,BR8-BR11),"")</f>
        <v/>
      </c>
      <c r="BS12" s="222"/>
      <c r="BT12" s="73"/>
      <c r="BU12" s="220" t="str">
        <f t="shared" ref="BU12" si="149">IFERROR(IF(BU9&lt;&gt;"",BU9-BU11,BU8-BU11),"")</f>
        <v/>
      </c>
      <c r="BV12" s="222"/>
      <c r="BW12" s="73"/>
      <c r="BX12" s="220" t="str">
        <f t="shared" ref="BX12" si="150">IFERROR(IF(BX9&lt;&gt;"",BX9-BX11,BX8-BX11),"")</f>
        <v/>
      </c>
      <c r="BY12" s="222"/>
      <c r="BZ12" s="73"/>
      <c r="CA12" s="220" t="str">
        <f t="shared" ref="CA12" si="151">IFERROR(IF(CA9&lt;&gt;"",CA9-CA11,CA8-CA11),"")</f>
        <v/>
      </c>
      <c r="CB12" s="222"/>
      <c r="CC12" s="93"/>
      <c r="CD12" s="69"/>
      <c r="CE12" s="220" t="str">
        <f t="shared" ref="CE12" si="152">IFERROR(IF(CE9&lt;&gt;"",CE9-CE11,CE8-CE11),"")</f>
        <v/>
      </c>
      <c r="CF12" s="222"/>
      <c r="CG12" s="73"/>
      <c r="CH12" s="220" t="str">
        <f t="shared" ref="CH12" si="153">IFERROR(IF(CH9&lt;&gt;"",CH9-CH11,CH8-CH11),"")</f>
        <v/>
      </c>
      <c r="CI12" s="222"/>
      <c r="CJ12" s="73"/>
      <c r="CK12" s="220" t="str">
        <f t="shared" ref="CK12" si="154">IFERROR(IF(CK9&lt;&gt;"",CK9-CK11,CK8-CK11),"")</f>
        <v/>
      </c>
      <c r="CL12" s="222"/>
      <c r="CM12" s="73"/>
      <c r="CN12" s="220" t="str">
        <f t="shared" ref="CN12" si="155">IFERROR(IF(CN9&lt;&gt;"",CN9-CN11,CN8-CN11),"")</f>
        <v/>
      </c>
      <c r="CO12" s="222"/>
      <c r="CP12" s="93"/>
      <c r="CQ12" s="69"/>
      <c r="CR12" s="220" t="str">
        <f t="shared" ref="CR12" si="156">IFERROR(IF(CR9&lt;&gt;"",CR9-CR11,CR8-CR11),"")</f>
        <v/>
      </c>
      <c r="CS12" s="222"/>
      <c r="CT12" s="73"/>
      <c r="CU12" s="220" t="str">
        <f t="shared" ref="CU12" si="157">IFERROR(IF(CU9&lt;&gt;"",CU9-CU11,CU8-CU11),"")</f>
        <v/>
      </c>
      <c r="CV12" s="222"/>
      <c r="CW12" s="73"/>
      <c r="CX12" s="220" t="str">
        <f t="shared" ref="CX12" si="158">IFERROR(IF(CX9&lt;&gt;"",CX9-CX11,CX8-CX11),"")</f>
        <v/>
      </c>
      <c r="CY12" s="222"/>
      <c r="CZ12" s="73"/>
      <c r="DA12" s="220" t="str">
        <f t="shared" ref="DA12" si="159">IFERROR(IF(DA9&lt;&gt;"",DA9-DA11,DA8-DA11),"")</f>
        <v/>
      </c>
      <c r="DB12" s="222"/>
      <c r="DC12" s="93"/>
      <c r="DD12" s="69"/>
      <c r="DE12" s="220" t="str">
        <f t="shared" ref="DE12" si="160">IFERROR(IF(DE9&lt;&gt;"",DE9-DE11,DE8-DE11),"")</f>
        <v/>
      </c>
      <c r="DF12" s="222"/>
      <c r="DG12" s="73"/>
      <c r="DH12" s="220" t="str">
        <f t="shared" ref="DH12" si="161">IFERROR(IF(DH9&lt;&gt;"",DH9-DH11,DH8-DH11),"")</f>
        <v/>
      </c>
      <c r="DI12" s="222"/>
      <c r="DJ12" s="73"/>
      <c r="DK12" s="220" t="str">
        <f t="shared" ref="DK12" si="162">IFERROR(IF(DK9&lt;&gt;"",DK9-DK11,DK8-DK11),"")</f>
        <v/>
      </c>
      <c r="DL12" s="222"/>
      <c r="DM12" s="73"/>
      <c r="DN12" s="220" t="str">
        <f t="shared" ref="DN12" si="163">IFERROR(IF(DN9&lt;&gt;"",DN9-DN11,DN8-DN11),"")</f>
        <v/>
      </c>
      <c r="DO12" s="222"/>
      <c r="DP12" s="93"/>
      <c r="DQ12" s="69"/>
      <c r="DR12" s="220" t="str">
        <f t="shared" ref="DR12" si="164">IFERROR(IF(DR9&lt;&gt;"",DR9-DR11,DR8-DR11),"")</f>
        <v/>
      </c>
      <c r="DS12" s="222"/>
      <c r="DT12" s="73"/>
      <c r="DU12" s="220" t="str">
        <f t="shared" ref="DU12" si="165">IFERROR(IF(DU9&lt;&gt;"",DU9-DU11,DU8-DU11),"")</f>
        <v/>
      </c>
      <c r="DV12" s="222"/>
      <c r="DW12" s="73"/>
      <c r="DX12" s="220" t="str">
        <f t="shared" ref="DX12" si="166">IFERROR(IF(DX9&lt;&gt;"",DX9-DX11,DX8-DX11),"")</f>
        <v/>
      </c>
      <c r="DY12" s="222"/>
      <c r="DZ12" s="73"/>
      <c r="EA12" s="220" t="str">
        <f t="shared" ref="EA12" si="167">IFERROR(IF(EA9&lt;&gt;"",EA9-EA11,EA8-EA11),"")</f>
        <v/>
      </c>
      <c r="EB12" s="222"/>
      <c r="EC12" s="93"/>
      <c r="ED12" s="69"/>
      <c r="EE12" s="220" t="str">
        <f t="shared" ref="EE12" si="168">IFERROR(IF(EE9&lt;&gt;"",EE9-EE11,EE8-EE11),"")</f>
        <v/>
      </c>
      <c r="EF12" s="222"/>
      <c r="EG12" s="73"/>
      <c r="EH12" s="220" t="str">
        <f t="shared" ref="EH12" si="169">IFERROR(IF(EH9&lt;&gt;"",EH9-EH11,EH8-EH11),"")</f>
        <v/>
      </c>
      <c r="EI12" s="222"/>
      <c r="EJ12" s="73"/>
      <c r="EK12" s="220" t="str">
        <f t="shared" ref="EK12" si="170">IFERROR(IF(EK9&lt;&gt;"",EK9-EK11,EK8-EK11),"")</f>
        <v/>
      </c>
      <c r="EL12" s="222"/>
      <c r="EM12" s="73"/>
      <c r="EN12" s="220" t="str">
        <f t="shared" ref="EN12" si="171">IFERROR(IF(EN9&lt;&gt;"",EN9-EN11,EN8-EN11),"")</f>
        <v/>
      </c>
      <c r="EO12" s="222"/>
      <c r="EP12" s="93"/>
      <c r="EQ12" s="69"/>
      <c r="ER12" s="220" t="str">
        <f t="shared" ref="ER12" si="172">IFERROR(IF(ER9&lt;&gt;"",ER9-ER11,ER8-ER11),"")</f>
        <v/>
      </c>
      <c r="ES12" s="222"/>
      <c r="ET12" s="73"/>
      <c r="EU12" s="220" t="str">
        <f t="shared" ref="EU12" si="173">IFERROR(IF(EU9&lt;&gt;"",EU9-EU11,EU8-EU11),"")</f>
        <v/>
      </c>
      <c r="EV12" s="222"/>
      <c r="EW12" s="73"/>
      <c r="EX12" s="220" t="str">
        <f t="shared" ref="EX12" si="174">IFERROR(IF(EX9&lt;&gt;"",EX9-EX11,EX8-EX11),"")</f>
        <v/>
      </c>
      <c r="EY12" s="222"/>
      <c r="EZ12" s="73"/>
      <c r="FA12" s="220" t="str">
        <f t="shared" ref="FA12" si="175">IFERROR(IF(FA9&lt;&gt;"",FA9-FA11,FA8-FA11),"")</f>
        <v/>
      </c>
      <c r="FB12" s="221"/>
    </row>
    <row r="13" spans="1:160" ht="15.95" hidden="1" customHeight="1" thickBot="1" x14ac:dyDescent="0.3">
      <c r="B13" s="249" t="s">
        <v>18</v>
      </c>
      <c r="C13" s="250"/>
      <c r="D13" s="69"/>
      <c r="E13" s="217" t="str">
        <f>IF(E12+E11+E7=Paycheck!E9,"Correct", "Incorrect")</f>
        <v>Correct</v>
      </c>
      <c r="F13" s="218"/>
      <c r="G13" s="73"/>
      <c r="H13" s="217" t="e">
        <f>IF(H12+H11+H7=Paycheck!H9,"Correct", "Incorrect")</f>
        <v>#VALUE!</v>
      </c>
      <c r="I13" s="218"/>
      <c r="J13" s="73"/>
      <c r="K13" s="217" t="e">
        <f>IF(K12+K11+K7=Paycheck!K9,"Correct", "Incorrect")</f>
        <v>#VALUE!</v>
      </c>
      <c r="L13" s="218"/>
      <c r="M13" s="73"/>
      <c r="N13" s="217" t="e">
        <f>IF(N12+N11+N7=Paycheck!N9,"Correct", "Incorrect")</f>
        <v>#VALUE!</v>
      </c>
      <c r="O13" s="218"/>
      <c r="P13" s="93"/>
      <c r="Q13" s="69"/>
      <c r="R13" s="217" t="e">
        <f>IF(R12+R11+R7=Paycheck!R9,"Correct", "Incorrect")</f>
        <v>#VALUE!</v>
      </c>
      <c r="S13" s="218"/>
      <c r="T13" s="73"/>
      <c r="U13" s="217" t="e">
        <f>IF(U12+U11+U7=Paycheck!U9,"Correct", "Incorrect")</f>
        <v>#VALUE!</v>
      </c>
      <c r="V13" s="218"/>
      <c r="W13" s="73"/>
      <c r="X13" s="217" t="e">
        <f>IF(X12+X11+X7=Paycheck!X9,"Correct", "Incorrect")</f>
        <v>#VALUE!</v>
      </c>
      <c r="Y13" s="218"/>
      <c r="Z13" s="73"/>
      <c r="AA13" s="217" t="e">
        <f>IF(AA12+AA11+AA7=Paycheck!AA9,"Correct", "Incorrect")</f>
        <v>#VALUE!</v>
      </c>
      <c r="AB13" s="218"/>
      <c r="AC13" s="93"/>
      <c r="AD13" s="69"/>
      <c r="AE13" s="217" t="e">
        <f>IF(AE12+AE11+AE7=Paycheck!AE9,"Correct", "Incorrect")</f>
        <v>#VALUE!</v>
      </c>
      <c r="AF13" s="218"/>
      <c r="AG13" s="73"/>
      <c r="AH13" s="217" t="e">
        <f>IF(AH12+AH11+AH7=Paycheck!AH9,"Correct", "Incorrect")</f>
        <v>#VALUE!</v>
      </c>
      <c r="AI13" s="218"/>
      <c r="AJ13" s="73"/>
      <c r="AK13" s="217" t="e">
        <f>IF(AK12+AK11+AK7=Paycheck!AK9,"Correct", "Incorrect")</f>
        <v>#VALUE!</v>
      </c>
      <c r="AL13" s="218"/>
      <c r="AM13" s="73"/>
      <c r="AN13" s="217" t="e">
        <f>IF(AN12+AN11+AN7=Paycheck!AN9,"Correct", "Incorrect")</f>
        <v>#VALUE!</v>
      </c>
      <c r="AO13" s="218"/>
      <c r="AP13" s="93"/>
      <c r="AQ13" s="69"/>
      <c r="AR13" s="217" t="e">
        <f>IF(AR12+AR11+AR7=Paycheck!AR9,"Correct", "Incorrect")</f>
        <v>#VALUE!</v>
      </c>
      <c r="AS13" s="218"/>
      <c r="AT13" s="73"/>
      <c r="AU13" s="217" t="e">
        <f>IF(AU12+AU11+AU7=Paycheck!AU9,"Correct", "Incorrect")</f>
        <v>#VALUE!</v>
      </c>
      <c r="AV13" s="218"/>
      <c r="AW13" s="73"/>
      <c r="AX13" s="217" t="e">
        <f>IF(AX12+AX11+AX7=Paycheck!AX9,"Correct", "Incorrect")</f>
        <v>#VALUE!</v>
      </c>
      <c r="AY13" s="218"/>
      <c r="AZ13" s="73"/>
      <c r="BA13" s="217" t="e">
        <f>IF(BA12+BA11+BA7=Paycheck!BA9,"Correct", "Incorrect")</f>
        <v>#VALUE!</v>
      </c>
      <c r="BB13" s="218"/>
      <c r="BC13" s="93"/>
      <c r="BD13" s="69"/>
      <c r="BE13" s="217" t="e">
        <f>IF(BE12+BE11+BE7=Paycheck!BE9,"Correct", "Incorrect")</f>
        <v>#VALUE!</v>
      </c>
      <c r="BF13" s="218"/>
      <c r="BG13" s="73"/>
      <c r="BH13" s="217" t="e">
        <f>IF(BH12+BH11+BH7=Paycheck!BH9,"Correct", "Incorrect")</f>
        <v>#VALUE!</v>
      </c>
      <c r="BI13" s="218"/>
      <c r="BJ13" s="73"/>
      <c r="BK13" s="217" t="e">
        <f>IF(BK12+BK11+BK7=Paycheck!BK9,"Correct", "Incorrect")</f>
        <v>#VALUE!</v>
      </c>
      <c r="BL13" s="218"/>
      <c r="BM13" s="73"/>
      <c r="BN13" s="217" t="e">
        <f>IF(BN12+BN11+BN7=Paycheck!BN9,"Correct", "Incorrect")</f>
        <v>#VALUE!</v>
      </c>
      <c r="BO13" s="218"/>
      <c r="BP13" s="93"/>
      <c r="BQ13" s="69"/>
      <c r="BR13" s="217" t="e">
        <f>IF(BR12+BR11+BR7=Paycheck!BR9,"Correct", "Incorrect")</f>
        <v>#VALUE!</v>
      </c>
      <c r="BS13" s="218"/>
      <c r="BT13" s="73"/>
      <c r="BU13" s="217" t="e">
        <f>IF(BU12+BU11+BU7=Paycheck!BU9,"Correct", "Incorrect")</f>
        <v>#VALUE!</v>
      </c>
      <c r="BV13" s="218"/>
      <c r="BW13" s="73"/>
      <c r="BX13" s="217" t="e">
        <f>IF(BX12+BX11+BX7=Paycheck!BX9,"Correct", "Incorrect")</f>
        <v>#VALUE!</v>
      </c>
      <c r="BY13" s="218"/>
      <c r="BZ13" s="73"/>
      <c r="CA13" s="217" t="e">
        <f>IF(CA12+CA11+CA7=Paycheck!CA9,"Correct", "Incorrect")</f>
        <v>#VALUE!</v>
      </c>
      <c r="CB13" s="218"/>
      <c r="CC13" s="93"/>
      <c r="CD13" s="69"/>
      <c r="CE13" s="217" t="e">
        <f>IF(CE12+CE11+CE7=Paycheck!CE9,"Correct", "Incorrect")</f>
        <v>#VALUE!</v>
      </c>
      <c r="CF13" s="218"/>
      <c r="CG13" s="73"/>
      <c r="CH13" s="217" t="e">
        <f>IF(CH12+CH11+CH7=Paycheck!CH9,"Correct", "Incorrect")</f>
        <v>#VALUE!</v>
      </c>
      <c r="CI13" s="218"/>
      <c r="CJ13" s="73"/>
      <c r="CK13" s="217" t="e">
        <f>IF(CK12+CK11+CK7=Paycheck!CK9,"Correct", "Incorrect")</f>
        <v>#VALUE!</v>
      </c>
      <c r="CL13" s="218"/>
      <c r="CM13" s="73"/>
      <c r="CN13" s="217" t="e">
        <f>IF(CN12+CN11+CN7=Paycheck!CN9,"Correct", "Incorrect")</f>
        <v>#VALUE!</v>
      </c>
      <c r="CO13" s="218"/>
      <c r="CP13" s="93"/>
      <c r="CQ13" s="69"/>
      <c r="CR13" s="217" t="e">
        <f>IF(CR12+CR11+CR7=Paycheck!CR9,"Correct", "Incorrect")</f>
        <v>#VALUE!</v>
      </c>
      <c r="CS13" s="218"/>
      <c r="CT13" s="73"/>
      <c r="CU13" s="217" t="e">
        <f>IF(CU12+CU11+CU7=Paycheck!CU9,"Correct", "Incorrect")</f>
        <v>#VALUE!</v>
      </c>
      <c r="CV13" s="218"/>
      <c r="CW13" s="73"/>
      <c r="CX13" s="217" t="e">
        <f>IF(CX12+CX11+CX7=Paycheck!CX9,"Correct", "Incorrect")</f>
        <v>#VALUE!</v>
      </c>
      <c r="CY13" s="218"/>
      <c r="CZ13" s="73"/>
      <c r="DA13" s="217" t="e">
        <f>IF(DA12+DA11+DA7=Paycheck!DA9,"Correct", "Incorrect")</f>
        <v>#VALUE!</v>
      </c>
      <c r="DB13" s="218"/>
      <c r="DC13" s="93"/>
      <c r="DD13" s="69"/>
      <c r="DE13" s="217" t="e">
        <f>IF(DE12+DE11+DE7=Paycheck!DE9,"Correct", "Incorrect")</f>
        <v>#VALUE!</v>
      </c>
      <c r="DF13" s="218"/>
      <c r="DG13" s="73"/>
      <c r="DH13" s="217" t="e">
        <f>IF(DH12+DH11+DH7=Paycheck!DH9,"Correct", "Incorrect")</f>
        <v>#VALUE!</v>
      </c>
      <c r="DI13" s="218"/>
      <c r="DJ13" s="73"/>
      <c r="DK13" s="217" t="e">
        <f>IF(DK12+DK11+DK7=Paycheck!DK9,"Correct", "Incorrect")</f>
        <v>#VALUE!</v>
      </c>
      <c r="DL13" s="218"/>
      <c r="DM13" s="73"/>
      <c r="DN13" s="217" t="e">
        <f>IF(DN12+DN11+DN7=Paycheck!DN9,"Correct", "Incorrect")</f>
        <v>#VALUE!</v>
      </c>
      <c r="DO13" s="218"/>
      <c r="DP13" s="93"/>
      <c r="DQ13" s="69"/>
      <c r="DR13" s="217" t="e">
        <f>IF(DR12+DR11+DR7=Paycheck!DR9,"Correct", "Incorrect")</f>
        <v>#VALUE!</v>
      </c>
      <c r="DS13" s="218"/>
      <c r="DT13" s="73"/>
      <c r="DU13" s="217" t="e">
        <f>IF(DU12+DU11+DU7=Paycheck!DU9,"Correct", "Incorrect")</f>
        <v>#VALUE!</v>
      </c>
      <c r="DV13" s="218"/>
      <c r="DW13" s="73"/>
      <c r="DX13" s="217" t="e">
        <f>IF(DX12+DX11+DX7=Paycheck!DX9,"Correct", "Incorrect")</f>
        <v>#VALUE!</v>
      </c>
      <c r="DY13" s="218"/>
      <c r="DZ13" s="73"/>
      <c r="EA13" s="217" t="e">
        <f>IF(EA12+EA11+EA7=Paycheck!EA9,"Correct", "Incorrect")</f>
        <v>#VALUE!</v>
      </c>
      <c r="EB13" s="218"/>
      <c r="EC13" s="93"/>
      <c r="ED13" s="69"/>
      <c r="EE13" s="217" t="e">
        <f>IF(EE12+EE11+EE7=Paycheck!EE9,"Correct", "Incorrect")</f>
        <v>#VALUE!</v>
      </c>
      <c r="EF13" s="218"/>
      <c r="EG13" s="73"/>
      <c r="EH13" s="217" t="e">
        <f>IF(EH12+EH11+EH7=Paycheck!EH9,"Correct", "Incorrect")</f>
        <v>#VALUE!</v>
      </c>
      <c r="EI13" s="218"/>
      <c r="EJ13" s="73"/>
      <c r="EK13" s="217" t="e">
        <f>IF(EK12+EK11+EK7=Paycheck!EK9,"Correct", "Incorrect")</f>
        <v>#VALUE!</v>
      </c>
      <c r="EL13" s="218"/>
      <c r="EM13" s="73"/>
      <c r="EN13" s="217" t="e">
        <f>IF(EN12+EN11+EN7=Paycheck!EN9,"Correct", "Incorrect")</f>
        <v>#VALUE!</v>
      </c>
      <c r="EO13" s="218"/>
      <c r="EP13" s="93"/>
      <c r="EQ13" s="69"/>
      <c r="ER13" s="217" t="e">
        <f>IF(ER12+ER11+ER7=Paycheck!ER9,"Correct", "Incorrect")</f>
        <v>#VALUE!</v>
      </c>
      <c r="ES13" s="218"/>
      <c r="ET13" s="73"/>
      <c r="EU13" s="217" t="e">
        <f>IF(EU12+EU11+EU7=Paycheck!EU9,"Correct", "Incorrect")</f>
        <v>#VALUE!</v>
      </c>
      <c r="EV13" s="218"/>
      <c r="EW13" s="73"/>
      <c r="EX13" s="217" t="e">
        <f>IF(EX12+EX11+EX7=Paycheck!EX9,"Correct", "Incorrect")</f>
        <v>#VALUE!</v>
      </c>
      <c r="EY13" s="218"/>
      <c r="EZ13" s="73"/>
      <c r="FA13" s="217" t="e">
        <f>IF(FA12+FA11+FA7=Paycheck!FA9,"Correct", "Incorrect")</f>
        <v>#VALUE!</v>
      </c>
      <c r="FB13" s="219"/>
    </row>
    <row r="14" spans="1:160" s="26" customFormat="1" ht="25.5" thickTop="1" thickBot="1" x14ac:dyDescent="0.3">
      <c r="B14" s="131" t="s">
        <v>26</v>
      </c>
      <c r="C14" s="46" t="s">
        <v>103</v>
      </c>
      <c r="D14" s="120"/>
      <c r="E14" s="214">
        <f>Paycheck!E8</f>
        <v>43476</v>
      </c>
      <c r="F14" s="215"/>
      <c r="G14" s="120"/>
      <c r="H14" s="214">
        <f>Paycheck!H8</f>
        <v>0</v>
      </c>
      <c r="I14" s="215"/>
      <c r="J14" s="120"/>
      <c r="K14" s="214">
        <f>Paycheck!K8</f>
        <v>0</v>
      </c>
      <c r="L14" s="215"/>
      <c r="M14" s="120"/>
      <c r="N14" s="214">
        <f>Paycheck!N8</f>
        <v>0</v>
      </c>
      <c r="O14" s="215"/>
      <c r="P14" s="121"/>
      <c r="Q14" s="120"/>
      <c r="R14" s="214">
        <f>Paycheck!R8</f>
        <v>0</v>
      </c>
      <c r="S14" s="215"/>
      <c r="T14" s="120"/>
      <c r="U14" s="214">
        <f>Paycheck!U8</f>
        <v>0</v>
      </c>
      <c r="V14" s="215"/>
      <c r="W14" s="120"/>
      <c r="X14" s="214">
        <f>Paycheck!X8</f>
        <v>0</v>
      </c>
      <c r="Y14" s="215"/>
      <c r="Z14" s="120"/>
      <c r="AA14" s="214">
        <f>Paycheck!AA8</f>
        <v>0</v>
      </c>
      <c r="AB14" s="215"/>
      <c r="AC14" s="121"/>
      <c r="AD14" s="120"/>
      <c r="AE14" s="214">
        <f>Paycheck!AE8</f>
        <v>0</v>
      </c>
      <c r="AF14" s="215"/>
      <c r="AG14" s="120"/>
      <c r="AH14" s="214">
        <f>Paycheck!AH8</f>
        <v>0</v>
      </c>
      <c r="AI14" s="215"/>
      <c r="AJ14" s="120"/>
      <c r="AK14" s="214">
        <f>Paycheck!AK8</f>
        <v>0</v>
      </c>
      <c r="AL14" s="215"/>
      <c r="AM14" s="120"/>
      <c r="AN14" s="214">
        <f>Paycheck!AN8</f>
        <v>0</v>
      </c>
      <c r="AO14" s="215"/>
      <c r="AP14" s="121"/>
      <c r="AQ14" s="120"/>
      <c r="AR14" s="214">
        <f>Paycheck!AR8</f>
        <v>0</v>
      </c>
      <c r="AS14" s="215"/>
      <c r="AT14" s="120"/>
      <c r="AU14" s="214">
        <f>Paycheck!AU8</f>
        <v>0</v>
      </c>
      <c r="AV14" s="215"/>
      <c r="AW14" s="120"/>
      <c r="AX14" s="214">
        <f>Paycheck!AX8</f>
        <v>0</v>
      </c>
      <c r="AY14" s="215"/>
      <c r="AZ14" s="120"/>
      <c r="BA14" s="214">
        <f>Paycheck!BA8</f>
        <v>0</v>
      </c>
      <c r="BB14" s="215"/>
      <c r="BC14" s="121"/>
      <c r="BD14" s="120"/>
      <c r="BE14" s="214">
        <f>Paycheck!BE8</f>
        <v>0</v>
      </c>
      <c r="BF14" s="215"/>
      <c r="BG14" s="120"/>
      <c r="BH14" s="214">
        <f>Paycheck!BH8</f>
        <v>0</v>
      </c>
      <c r="BI14" s="215"/>
      <c r="BJ14" s="120"/>
      <c r="BK14" s="214">
        <f>Paycheck!BK8</f>
        <v>0</v>
      </c>
      <c r="BL14" s="215"/>
      <c r="BM14" s="120"/>
      <c r="BN14" s="214">
        <f>Paycheck!BN8</f>
        <v>0</v>
      </c>
      <c r="BO14" s="215"/>
      <c r="BP14" s="121"/>
      <c r="BQ14" s="120"/>
      <c r="BR14" s="214">
        <f>Paycheck!BR8</f>
        <v>0</v>
      </c>
      <c r="BS14" s="215"/>
      <c r="BT14" s="120"/>
      <c r="BU14" s="214">
        <f>Paycheck!BU8</f>
        <v>0</v>
      </c>
      <c r="BV14" s="215"/>
      <c r="BW14" s="120"/>
      <c r="BX14" s="214">
        <f>Paycheck!BX8</f>
        <v>0</v>
      </c>
      <c r="BY14" s="215"/>
      <c r="BZ14" s="120"/>
      <c r="CA14" s="214">
        <f>Paycheck!CA8</f>
        <v>0</v>
      </c>
      <c r="CB14" s="215"/>
      <c r="CC14" s="121"/>
      <c r="CD14" s="120"/>
      <c r="CE14" s="214">
        <f>Paycheck!CE8</f>
        <v>0</v>
      </c>
      <c r="CF14" s="215"/>
      <c r="CG14" s="120"/>
      <c r="CH14" s="214">
        <f>Paycheck!CH8</f>
        <v>0</v>
      </c>
      <c r="CI14" s="215"/>
      <c r="CJ14" s="120"/>
      <c r="CK14" s="214">
        <f>Paycheck!CK8</f>
        <v>0</v>
      </c>
      <c r="CL14" s="215"/>
      <c r="CM14" s="120"/>
      <c r="CN14" s="214">
        <f>Paycheck!CN8</f>
        <v>0</v>
      </c>
      <c r="CO14" s="215"/>
      <c r="CP14" s="121"/>
      <c r="CQ14" s="120"/>
      <c r="CR14" s="214">
        <f>Paycheck!CR8</f>
        <v>0</v>
      </c>
      <c r="CS14" s="215"/>
      <c r="CT14" s="120"/>
      <c r="CU14" s="214">
        <f>Paycheck!CU8</f>
        <v>0</v>
      </c>
      <c r="CV14" s="215"/>
      <c r="CW14" s="120"/>
      <c r="CX14" s="214">
        <f>Paycheck!CX8</f>
        <v>0</v>
      </c>
      <c r="CY14" s="215"/>
      <c r="CZ14" s="120"/>
      <c r="DA14" s="214">
        <f>Paycheck!DA8</f>
        <v>0</v>
      </c>
      <c r="DB14" s="215"/>
      <c r="DC14" s="121"/>
      <c r="DD14" s="120"/>
      <c r="DE14" s="214">
        <f>Paycheck!DE8</f>
        <v>0</v>
      </c>
      <c r="DF14" s="215"/>
      <c r="DG14" s="120"/>
      <c r="DH14" s="214">
        <f>Paycheck!DH8</f>
        <v>0</v>
      </c>
      <c r="DI14" s="215"/>
      <c r="DJ14" s="120"/>
      <c r="DK14" s="214">
        <f>Paycheck!DK8</f>
        <v>0</v>
      </c>
      <c r="DL14" s="215"/>
      <c r="DM14" s="120"/>
      <c r="DN14" s="214">
        <f>Paycheck!DN8</f>
        <v>0</v>
      </c>
      <c r="DO14" s="215"/>
      <c r="DP14" s="121"/>
      <c r="DQ14" s="120"/>
      <c r="DR14" s="214">
        <f>Paycheck!DR8</f>
        <v>0</v>
      </c>
      <c r="DS14" s="215"/>
      <c r="DT14" s="120"/>
      <c r="DU14" s="214">
        <f>Paycheck!DU8</f>
        <v>0</v>
      </c>
      <c r="DV14" s="215"/>
      <c r="DW14" s="120"/>
      <c r="DX14" s="214">
        <f>Paycheck!DX8</f>
        <v>0</v>
      </c>
      <c r="DY14" s="215"/>
      <c r="DZ14" s="120"/>
      <c r="EA14" s="214">
        <f>Paycheck!EA8</f>
        <v>0</v>
      </c>
      <c r="EB14" s="215"/>
      <c r="EC14" s="121"/>
      <c r="ED14" s="120"/>
      <c r="EE14" s="214">
        <f>Paycheck!EE8</f>
        <v>0</v>
      </c>
      <c r="EF14" s="215"/>
      <c r="EG14" s="120"/>
      <c r="EH14" s="214">
        <f>Paycheck!EH8</f>
        <v>0</v>
      </c>
      <c r="EI14" s="215"/>
      <c r="EJ14" s="120"/>
      <c r="EK14" s="214">
        <f>Paycheck!EK8</f>
        <v>0</v>
      </c>
      <c r="EL14" s="215"/>
      <c r="EM14" s="120"/>
      <c r="EN14" s="214">
        <f>Paycheck!EN8</f>
        <v>0</v>
      </c>
      <c r="EO14" s="215"/>
      <c r="EP14" s="121"/>
      <c r="EQ14" s="120"/>
      <c r="ER14" s="214">
        <f>Paycheck!ER8</f>
        <v>0</v>
      </c>
      <c r="ES14" s="215"/>
      <c r="ET14" s="120"/>
      <c r="EU14" s="214">
        <f>Paycheck!EU8</f>
        <v>0</v>
      </c>
      <c r="EV14" s="215"/>
      <c r="EW14" s="120"/>
      <c r="EX14" s="214">
        <f>Paycheck!EX8</f>
        <v>0</v>
      </c>
      <c r="EY14" s="215"/>
      <c r="EZ14" s="120"/>
      <c r="FA14" s="214">
        <f>Paycheck!FA8</f>
        <v>0</v>
      </c>
      <c r="FB14" s="216"/>
    </row>
    <row r="15" spans="1:160" ht="16.5" thickTop="1" thickBot="1" x14ac:dyDescent="0.3">
      <c r="B15" s="132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126"/>
      <c r="BF15" s="126"/>
      <c r="BG15" s="126"/>
      <c r="BH15" s="126"/>
      <c r="BI15" s="126"/>
      <c r="BJ15" s="126"/>
      <c r="BK15" s="126"/>
      <c r="BL15" s="126"/>
      <c r="BM15" s="126"/>
      <c r="BN15" s="126"/>
      <c r="BO15" s="126"/>
      <c r="BP15" s="126"/>
      <c r="BQ15" s="126"/>
      <c r="BR15" s="126"/>
      <c r="BS15" s="126"/>
      <c r="BT15" s="126"/>
      <c r="BU15" s="126"/>
      <c r="BV15" s="126"/>
      <c r="BW15" s="126"/>
      <c r="BX15" s="126"/>
      <c r="BY15" s="126"/>
      <c r="BZ15" s="126"/>
      <c r="CA15" s="126"/>
      <c r="CB15" s="126"/>
      <c r="CC15" s="126"/>
      <c r="CD15" s="126"/>
      <c r="CE15" s="126"/>
      <c r="CF15" s="126"/>
      <c r="CG15" s="126"/>
      <c r="CH15" s="126"/>
      <c r="CI15" s="126"/>
      <c r="CJ15" s="126"/>
      <c r="CK15" s="126"/>
      <c r="CL15" s="126"/>
      <c r="CM15" s="126"/>
      <c r="CN15" s="126"/>
      <c r="CO15" s="126"/>
      <c r="CP15" s="126"/>
      <c r="CQ15" s="126"/>
      <c r="CR15" s="126"/>
      <c r="CS15" s="126"/>
      <c r="CT15" s="126"/>
      <c r="CU15" s="126"/>
      <c r="CV15" s="126"/>
      <c r="CW15" s="126"/>
      <c r="CX15" s="126"/>
      <c r="CY15" s="126"/>
      <c r="CZ15" s="126"/>
      <c r="DA15" s="126"/>
      <c r="DB15" s="126"/>
      <c r="DC15" s="126"/>
      <c r="DD15" s="126"/>
      <c r="DE15" s="126"/>
      <c r="DF15" s="126"/>
      <c r="DG15" s="126"/>
      <c r="DH15" s="126"/>
      <c r="DI15" s="126"/>
      <c r="DJ15" s="126"/>
      <c r="DK15" s="126"/>
      <c r="DL15" s="126"/>
      <c r="DM15" s="126"/>
      <c r="DN15" s="126"/>
      <c r="DO15" s="126"/>
      <c r="DP15" s="126"/>
      <c r="DQ15" s="126"/>
      <c r="DR15" s="126"/>
      <c r="DS15" s="126"/>
      <c r="DT15" s="126"/>
      <c r="DU15" s="126"/>
      <c r="DV15" s="126"/>
      <c r="DW15" s="126"/>
      <c r="DX15" s="126"/>
      <c r="DY15" s="126"/>
      <c r="DZ15" s="126"/>
      <c r="EA15" s="126"/>
      <c r="EB15" s="126"/>
      <c r="EC15" s="126"/>
      <c r="ED15" s="126"/>
      <c r="EE15" s="126"/>
      <c r="EF15" s="126"/>
      <c r="EG15" s="126"/>
      <c r="EH15" s="126"/>
      <c r="EI15" s="126"/>
      <c r="EJ15" s="126"/>
      <c r="EK15" s="126"/>
      <c r="EL15" s="126"/>
      <c r="EM15" s="126"/>
      <c r="EN15" s="126"/>
      <c r="EO15" s="126"/>
      <c r="EP15" s="126"/>
      <c r="EQ15" s="126"/>
      <c r="ER15" s="126"/>
      <c r="ES15" s="126"/>
      <c r="ET15" s="126"/>
      <c r="EU15" s="126"/>
      <c r="EV15" s="126"/>
      <c r="EW15" s="126"/>
      <c r="EX15" s="126"/>
      <c r="EY15" s="126"/>
      <c r="EZ15" s="126"/>
      <c r="FA15" s="126"/>
      <c r="FB15" s="127"/>
    </row>
    <row r="16" spans="1:160" ht="15.75" thickTop="1" x14ac:dyDescent="0.25"/>
  </sheetData>
  <sheetProtection algorithmName="SHA-512" hashValue="T19vZcUmmdgTdy5L0oKNJlSQxM25dKkn0geD74eMlUpWVkBye0cxIqcyIiQptu5MmQblK594qyKIltKuISNSUw==" saltValue="1xrtoamHXUEH/xRSMnPD6g==" spinCount="100000" sheet="1" selectLockedCells="1"/>
  <mergeCells count="503">
    <mergeCell ref="B2:C2"/>
    <mergeCell ref="N9:O9"/>
    <mergeCell ref="E6:F6"/>
    <mergeCell ref="E7:F7"/>
    <mergeCell ref="N6:O6"/>
    <mergeCell ref="N7:O7"/>
    <mergeCell ref="E2:O2"/>
    <mergeCell ref="H11:I11"/>
    <mergeCell ref="K11:L11"/>
    <mergeCell ref="N5:O5"/>
    <mergeCell ref="E5:F5"/>
    <mergeCell ref="E8:F8"/>
    <mergeCell ref="N8:O8"/>
    <mergeCell ref="H5:I5"/>
    <mergeCell ref="K5:L5"/>
    <mergeCell ref="H6:I6"/>
    <mergeCell ref="K6:L6"/>
    <mergeCell ref="B4:C4"/>
    <mergeCell ref="B9:C9"/>
    <mergeCell ref="B6:C6"/>
    <mergeCell ref="B7:C7"/>
    <mergeCell ref="B8:C8"/>
    <mergeCell ref="B10:C10"/>
    <mergeCell ref="B5:C5"/>
    <mergeCell ref="B11:C11"/>
    <mergeCell ref="B12:C12"/>
    <mergeCell ref="B13:C13"/>
    <mergeCell ref="E13:F13"/>
    <mergeCell ref="N13:O13"/>
    <mergeCell ref="H9:I9"/>
    <mergeCell ref="K9:L9"/>
    <mergeCell ref="H10:I10"/>
    <mergeCell ref="K10:L10"/>
    <mergeCell ref="H12:I12"/>
    <mergeCell ref="K12:L12"/>
    <mergeCell ref="H13:I13"/>
    <mergeCell ref="K13:L13"/>
    <mergeCell ref="N12:O12"/>
    <mergeCell ref="E10:F10"/>
    <mergeCell ref="E11:F11"/>
    <mergeCell ref="E12:F12"/>
    <mergeCell ref="N10:O10"/>
    <mergeCell ref="N11:O11"/>
    <mergeCell ref="E14:F14"/>
    <mergeCell ref="N14:O14"/>
    <mergeCell ref="R14:S14"/>
    <mergeCell ref="U14:V14"/>
    <mergeCell ref="U10:V10"/>
    <mergeCell ref="U11:V11"/>
    <mergeCell ref="U12:V12"/>
    <mergeCell ref="R9:S9"/>
    <mergeCell ref="R11:S11"/>
    <mergeCell ref="R12:S12"/>
    <mergeCell ref="R13:S13"/>
    <mergeCell ref="E9:F9"/>
    <mergeCell ref="U9:V9"/>
    <mergeCell ref="R10:S10"/>
    <mergeCell ref="H14:I14"/>
    <mergeCell ref="K14:L14"/>
    <mergeCell ref="AE5:AF5"/>
    <mergeCell ref="AE6:AF6"/>
    <mergeCell ref="AE7:AF7"/>
    <mergeCell ref="AE8:AF8"/>
    <mergeCell ref="AE9:AF9"/>
    <mergeCell ref="U5:V5"/>
    <mergeCell ref="R5:S5"/>
    <mergeCell ref="U6:V6"/>
    <mergeCell ref="U7:V7"/>
    <mergeCell ref="U8:V8"/>
    <mergeCell ref="R6:S6"/>
    <mergeCell ref="R7:S7"/>
    <mergeCell ref="R8:S8"/>
    <mergeCell ref="X8:Y8"/>
    <mergeCell ref="AA8:AB8"/>
    <mergeCell ref="H7:I7"/>
    <mergeCell ref="K7:L7"/>
    <mergeCell ref="H8:I8"/>
    <mergeCell ref="K8:L8"/>
    <mergeCell ref="R2:AB2"/>
    <mergeCell ref="AE2:AO2"/>
    <mergeCell ref="AR2:BB2"/>
    <mergeCell ref="X5:Y5"/>
    <mergeCell ref="AA5:AB5"/>
    <mergeCell ref="AH5:AI5"/>
    <mergeCell ref="AK5:AL5"/>
    <mergeCell ref="AN5:AO5"/>
    <mergeCell ref="AR5:AS5"/>
    <mergeCell ref="AU5:AV5"/>
    <mergeCell ref="AX5:AY5"/>
    <mergeCell ref="BA5:BB5"/>
    <mergeCell ref="X6:Y6"/>
    <mergeCell ref="AA6:AB6"/>
    <mergeCell ref="AH6:AI6"/>
    <mergeCell ref="AK6:AL6"/>
    <mergeCell ref="AN6:AO6"/>
    <mergeCell ref="AR6:AS6"/>
    <mergeCell ref="AU6:AV6"/>
    <mergeCell ref="AX6:AY6"/>
    <mergeCell ref="BA6:BB6"/>
    <mergeCell ref="X7:Y7"/>
    <mergeCell ref="AA7:AB7"/>
    <mergeCell ref="AH7:AI7"/>
    <mergeCell ref="AK7:AL7"/>
    <mergeCell ref="AN7:AO7"/>
    <mergeCell ref="AR7:AS7"/>
    <mergeCell ref="AU7:AV7"/>
    <mergeCell ref="AX7:AY7"/>
    <mergeCell ref="BA7:BB7"/>
    <mergeCell ref="AH8:AI8"/>
    <mergeCell ref="AK8:AL8"/>
    <mergeCell ref="AN8:AO8"/>
    <mergeCell ref="AR8:AS8"/>
    <mergeCell ref="AU8:AV8"/>
    <mergeCell ref="AX8:AY8"/>
    <mergeCell ref="BA8:BB8"/>
    <mergeCell ref="X9:Y9"/>
    <mergeCell ref="AA9:AB9"/>
    <mergeCell ref="AH9:AI9"/>
    <mergeCell ref="AK9:AL9"/>
    <mergeCell ref="AN9:AO9"/>
    <mergeCell ref="AR9:AS9"/>
    <mergeCell ref="AU9:AV9"/>
    <mergeCell ref="AX9:AY9"/>
    <mergeCell ref="BA9:BB9"/>
    <mergeCell ref="AH10:AI10"/>
    <mergeCell ref="AK10:AL10"/>
    <mergeCell ref="AN10:AO10"/>
    <mergeCell ref="AR10:AS10"/>
    <mergeCell ref="AU10:AV10"/>
    <mergeCell ref="AX10:AY10"/>
    <mergeCell ref="BA10:BB10"/>
    <mergeCell ref="X11:Y11"/>
    <mergeCell ref="AA11:AB11"/>
    <mergeCell ref="AH11:AI11"/>
    <mergeCell ref="AK11:AL11"/>
    <mergeCell ref="AN11:AO11"/>
    <mergeCell ref="AR11:AS11"/>
    <mergeCell ref="AU11:AV11"/>
    <mergeCell ref="AX11:AY11"/>
    <mergeCell ref="BA11:BB11"/>
    <mergeCell ref="AE10:AF10"/>
    <mergeCell ref="AE11:AF11"/>
    <mergeCell ref="X10:Y10"/>
    <mergeCell ref="AA10:AB10"/>
    <mergeCell ref="BA12:BB12"/>
    <mergeCell ref="U13:V13"/>
    <mergeCell ref="X13:Y13"/>
    <mergeCell ref="AA13:AB13"/>
    <mergeCell ref="AE13:AF13"/>
    <mergeCell ref="AH13:AI13"/>
    <mergeCell ref="AK13:AL13"/>
    <mergeCell ref="AN13:AO13"/>
    <mergeCell ref="AR13:AS13"/>
    <mergeCell ref="AU13:AV13"/>
    <mergeCell ref="AX13:AY13"/>
    <mergeCell ref="BA13:BB13"/>
    <mergeCell ref="X12:Y12"/>
    <mergeCell ref="AA12:AB12"/>
    <mergeCell ref="AE12:AF12"/>
    <mergeCell ref="AH12:AI12"/>
    <mergeCell ref="AK12:AL12"/>
    <mergeCell ref="AN12:AO12"/>
    <mergeCell ref="AR12:AS12"/>
    <mergeCell ref="AU12:AV12"/>
    <mergeCell ref="AX12:AY12"/>
    <mergeCell ref="X14:Y14"/>
    <mergeCell ref="AA14:AB14"/>
    <mergeCell ref="AE14:AF14"/>
    <mergeCell ref="AH14:AI14"/>
    <mergeCell ref="AK14:AL14"/>
    <mergeCell ref="AN14:AO14"/>
    <mergeCell ref="AR14:AS14"/>
    <mergeCell ref="AU14:AV14"/>
    <mergeCell ref="AX14:AY14"/>
    <mergeCell ref="BA14:BB14"/>
    <mergeCell ref="BE2:BO2"/>
    <mergeCell ref="BR2:CB2"/>
    <mergeCell ref="CE2:CO2"/>
    <mergeCell ref="CR2:DB2"/>
    <mergeCell ref="DE2:DO2"/>
    <mergeCell ref="DR2:EB2"/>
    <mergeCell ref="EE2:EO2"/>
    <mergeCell ref="ER2:FB2"/>
    <mergeCell ref="BE5:BF5"/>
    <mergeCell ref="BH5:BI5"/>
    <mergeCell ref="BK5:BL5"/>
    <mergeCell ref="BN5:BO5"/>
    <mergeCell ref="BR5:BS5"/>
    <mergeCell ref="BU5:BV5"/>
    <mergeCell ref="BX5:BY5"/>
    <mergeCell ref="CA5:CB5"/>
    <mergeCell ref="CE5:CF5"/>
    <mergeCell ref="CH5:CI5"/>
    <mergeCell ref="CK5:CL5"/>
    <mergeCell ref="CN5:CO5"/>
    <mergeCell ref="CR5:CS5"/>
    <mergeCell ref="CU5:CV5"/>
    <mergeCell ref="CX5:CY5"/>
    <mergeCell ref="DA5:DB5"/>
    <mergeCell ref="DE5:DF5"/>
    <mergeCell ref="DH5:DI5"/>
    <mergeCell ref="DK5:DL5"/>
    <mergeCell ref="DN5:DO5"/>
    <mergeCell ref="DR5:DS5"/>
    <mergeCell ref="DU5:DV5"/>
    <mergeCell ref="DX5:DY5"/>
    <mergeCell ref="EA5:EB5"/>
    <mergeCell ref="EE5:EF5"/>
    <mergeCell ref="EH5:EI5"/>
    <mergeCell ref="EK5:EL5"/>
    <mergeCell ref="EN5:EO5"/>
    <mergeCell ref="ER5:ES5"/>
    <mergeCell ref="EU5:EV5"/>
    <mergeCell ref="EX5:EY5"/>
    <mergeCell ref="FA5:FB5"/>
    <mergeCell ref="BE6:BF6"/>
    <mergeCell ref="BH6:BI6"/>
    <mergeCell ref="BK6:BL6"/>
    <mergeCell ref="BN6:BO6"/>
    <mergeCell ref="BR6:BS6"/>
    <mergeCell ref="BU6:BV6"/>
    <mergeCell ref="BX6:BY6"/>
    <mergeCell ref="CA6:CB6"/>
    <mergeCell ref="CE6:CF6"/>
    <mergeCell ref="CH6:CI6"/>
    <mergeCell ref="CK6:CL6"/>
    <mergeCell ref="CN6:CO6"/>
    <mergeCell ref="CR6:CS6"/>
    <mergeCell ref="CU6:CV6"/>
    <mergeCell ref="CX6:CY6"/>
    <mergeCell ref="DA6:DB6"/>
    <mergeCell ref="DE6:DF6"/>
    <mergeCell ref="DH6:DI6"/>
    <mergeCell ref="DK6:DL6"/>
    <mergeCell ref="DN6:DO6"/>
    <mergeCell ref="DR6:DS6"/>
    <mergeCell ref="DU6:DV6"/>
    <mergeCell ref="DX6:DY6"/>
    <mergeCell ref="EA6:EB6"/>
    <mergeCell ref="EE6:EF6"/>
    <mergeCell ref="EH6:EI6"/>
    <mergeCell ref="EK6:EL6"/>
    <mergeCell ref="EN6:EO6"/>
    <mergeCell ref="ER6:ES6"/>
    <mergeCell ref="EU6:EV6"/>
    <mergeCell ref="EX6:EY6"/>
    <mergeCell ref="FA6:FB6"/>
    <mergeCell ref="BE7:BF7"/>
    <mergeCell ref="BH7:BI7"/>
    <mergeCell ref="BK7:BL7"/>
    <mergeCell ref="BN7:BO7"/>
    <mergeCell ref="BR7:BS7"/>
    <mergeCell ref="BU7:BV7"/>
    <mergeCell ref="BX7:BY7"/>
    <mergeCell ref="CA7:CB7"/>
    <mergeCell ref="CE7:CF7"/>
    <mergeCell ref="CH7:CI7"/>
    <mergeCell ref="CK7:CL7"/>
    <mergeCell ref="CN7:CO7"/>
    <mergeCell ref="CR7:CS7"/>
    <mergeCell ref="CU7:CV7"/>
    <mergeCell ref="CX7:CY7"/>
    <mergeCell ref="DA7:DB7"/>
    <mergeCell ref="DE7:DF7"/>
    <mergeCell ref="DH7:DI7"/>
    <mergeCell ref="DK7:DL7"/>
    <mergeCell ref="DN7:DO7"/>
    <mergeCell ref="DR7:DS7"/>
    <mergeCell ref="DU7:DV7"/>
    <mergeCell ref="DX7:DY7"/>
    <mergeCell ref="EA7:EB7"/>
    <mergeCell ref="EE7:EF7"/>
    <mergeCell ref="EH7:EI7"/>
    <mergeCell ref="EK7:EL7"/>
    <mergeCell ref="EN7:EO7"/>
    <mergeCell ref="ER7:ES7"/>
    <mergeCell ref="EU7:EV7"/>
    <mergeCell ref="EX7:EY7"/>
    <mergeCell ref="FA7:FB7"/>
    <mergeCell ref="BE8:BF8"/>
    <mergeCell ref="BH8:BI8"/>
    <mergeCell ref="BK8:BL8"/>
    <mergeCell ref="BN8:BO8"/>
    <mergeCell ref="BR8:BS8"/>
    <mergeCell ref="BU8:BV8"/>
    <mergeCell ref="BX8:BY8"/>
    <mergeCell ref="CA8:CB8"/>
    <mergeCell ref="CE8:CF8"/>
    <mergeCell ref="CH8:CI8"/>
    <mergeCell ref="CK8:CL8"/>
    <mergeCell ref="CN8:CO8"/>
    <mergeCell ref="CR8:CS8"/>
    <mergeCell ref="CU8:CV8"/>
    <mergeCell ref="CX8:CY8"/>
    <mergeCell ref="DA8:DB8"/>
    <mergeCell ref="DE8:DF8"/>
    <mergeCell ref="DH8:DI8"/>
    <mergeCell ref="DK8:DL8"/>
    <mergeCell ref="DN8:DO8"/>
    <mergeCell ref="DR8:DS8"/>
    <mergeCell ref="DU8:DV8"/>
    <mergeCell ref="DX8:DY8"/>
    <mergeCell ref="EA8:EB8"/>
    <mergeCell ref="EE8:EF8"/>
    <mergeCell ref="EH8:EI8"/>
    <mergeCell ref="EK8:EL8"/>
    <mergeCell ref="EN8:EO8"/>
    <mergeCell ref="ER8:ES8"/>
    <mergeCell ref="EU8:EV8"/>
    <mergeCell ref="EX8:EY8"/>
    <mergeCell ref="FA8:FB8"/>
    <mergeCell ref="BE9:BF9"/>
    <mergeCell ref="BH9:BI9"/>
    <mergeCell ref="BK9:BL9"/>
    <mergeCell ref="BN9:BO9"/>
    <mergeCell ref="BR9:BS9"/>
    <mergeCell ref="BU9:BV9"/>
    <mergeCell ref="BX9:BY9"/>
    <mergeCell ref="CA9:CB9"/>
    <mergeCell ref="CE9:CF9"/>
    <mergeCell ref="CH9:CI9"/>
    <mergeCell ref="CK9:CL9"/>
    <mergeCell ref="CN9:CO9"/>
    <mergeCell ref="CR9:CS9"/>
    <mergeCell ref="CU9:CV9"/>
    <mergeCell ref="CX9:CY9"/>
    <mergeCell ref="DA9:DB9"/>
    <mergeCell ref="DE9:DF9"/>
    <mergeCell ref="DH9:DI9"/>
    <mergeCell ref="DK9:DL9"/>
    <mergeCell ref="DN9:DO9"/>
    <mergeCell ref="DR9:DS9"/>
    <mergeCell ref="DU9:DV9"/>
    <mergeCell ref="DX9:DY9"/>
    <mergeCell ref="EA9:EB9"/>
    <mergeCell ref="EE9:EF9"/>
    <mergeCell ref="EH9:EI9"/>
    <mergeCell ref="EK9:EL9"/>
    <mergeCell ref="EN9:EO9"/>
    <mergeCell ref="ER9:ES9"/>
    <mergeCell ref="EU9:EV9"/>
    <mergeCell ref="EX9:EY9"/>
    <mergeCell ref="FA9:FB9"/>
    <mergeCell ref="BE10:BF10"/>
    <mergeCell ref="BH10:BI10"/>
    <mergeCell ref="BK10:BL10"/>
    <mergeCell ref="BN10:BO10"/>
    <mergeCell ref="BR10:BS10"/>
    <mergeCell ref="BU10:BV10"/>
    <mergeCell ref="BX10:BY10"/>
    <mergeCell ref="CA10:CB10"/>
    <mergeCell ref="CE10:CF10"/>
    <mergeCell ref="CH10:CI10"/>
    <mergeCell ref="CK10:CL10"/>
    <mergeCell ref="CN10:CO10"/>
    <mergeCell ref="CR10:CS10"/>
    <mergeCell ref="CU10:CV10"/>
    <mergeCell ref="CX10:CY10"/>
    <mergeCell ref="DA10:DB10"/>
    <mergeCell ref="DE10:DF10"/>
    <mergeCell ref="DH10:DI10"/>
    <mergeCell ref="DK10:DL10"/>
    <mergeCell ref="DN10:DO10"/>
    <mergeCell ref="DR10:DS10"/>
    <mergeCell ref="DU10:DV10"/>
    <mergeCell ref="DX10:DY10"/>
    <mergeCell ref="EA10:EB10"/>
    <mergeCell ref="EE10:EF10"/>
    <mergeCell ref="EH10:EI10"/>
    <mergeCell ref="EK10:EL10"/>
    <mergeCell ref="EN10:EO10"/>
    <mergeCell ref="ER10:ES10"/>
    <mergeCell ref="EU10:EV10"/>
    <mergeCell ref="EX10:EY10"/>
    <mergeCell ref="FA10:FB10"/>
    <mergeCell ref="BE11:BF11"/>
    <mergeCell ref="BH11:BI11"/>
    <mergeCell ref="BK11:BL11"/>
    <mergeCell ref="BN11:BO11"/>
    <mergeCell ref="BR11:BS11"/>
    <mergeCell ref="BU11:BV11"/>
    <mergeCell ref="BX11:BY11"/>
    <mergeCell ref="CA11:CB11"/>
    <mergeCell ref="CE11:CF11"/>
    <mergeCell ref="CH11:CI11"/>
    <mergeCell ref="CK11:CL11"/>
    <mergeCell ref="CN11:CO11"/>
    <mergeCell ref="CR11:CS11"/>
    <mergeCell ref="CU11:CV11"/>
    <mergeCell ref="CX11:CY11"/>
    <mergeCell ref="DA11:DB11"/>
    <mergeCell ref="DE11:DF11"/>
    <mergeCell ref="DH11:DI11"/>
    <mergeCell ref="DK11:DL11"/>
    <mergeCell ref="DN11:DO11"/>
    <mergeCell ref="DR11:DS11"/>
    <mergeCell ref="DU11:DV11"/>
    <mergeCell ref="DX11:DY11"/>
    <mergeCell ref="EA11:EB11"/>
    <mergeCell ref="EE11:EF11"/>
    <mergeCell ref="EH11:EI11"/>
    <mergeCell ref="EK11:EL11"/>
    <mergeCell ref="EN11:EO11"/>
    <mergeCell ref="ER11:ES11"/>
    <mergeCell ref="EU11:EV11"/>
    <mergeCell ref="EX11:EY11"/>
    <mergeCell ref="FA11:FB11"/>
    <mergeCell ref="BE12:BF12"/>
    <mergeCell ref="BH12:BI12"/>
    <mergeCell ref="BK12:BL12"/>
    <mergeCell ref="BN12:BO12"/>
    <mergeCell ref="BR12:BS12"/>
    <mergeCell ref="BU12:BV12"/>
    <mergeCell ref="BX12:BY12"/>
    <mergeCell ref="CA12:CB12"/>
    <mergeCell ref="CE12:CF12"/>
    <mergeCell ref="CH12:CI12"/>
    <mergeCell ref="CK12:CL12"/>
    <mergeCell ref="CN12:CO12"/>
    <mergeCell ref="CR12:CS12"/>
    <mergeCell ref="CU12:CV12"/>
    <mergeCell ref="CX12:CY12"/>
    <mergeCell ref="DA12:DB12"/>
    <mergeCell ref="DE12:DF12"/>
    <mergeCell ref="DH12:DI12"/>
    <mergeCell ref="DK12:DL12"/>
    <mergeCell ref="DN12:DO12"/>
    <mergeCell ref="DR12:DS12"/>
    <mergeCell ref="DU12:DV12"/>
    <mergeCell ref="DX12:DY12"/>
    <mergeCell ref="EA12:EB12"/>
    <mergeCell ref="EE12:EF12"/>
    <mergeCell ref="EH12:EI12"/>
    <mergeCell ref="EK12:EL12"/>
    <mergeCell ref="EN12:EO12"/>
    <mergeCell ref="ER12:ES12"/>
    <mergeCell ref="EU12:EV12"/>
    <mergeCell ref="EX12:EY12"/>
    <mergeCell ref="FA12:FB12"/>
    <mergeCell ref="BE13:BF13"/>
    <mergeCell ref="BH13:BI13"/>
    <mergeCell ref="BK13:BL13"/>
    <mergeCell ref="BN13:BO13"/>
    <mergeCell ref="BR13:BS13"/>
    <mergeCell ref="BU13:BV13"/>
    <mergeCell ref="BX13:BY13"/>
    <mergeCell ref="CA13:CB13"/>
    <mergeCell ref="CE13:CF13"/>
    <mergeCell ref="CH13:CI13"/>
    <mergeCell ref="CK13:CL13"/>
    <mergeCell ref="CN13:CO13"/>
    <mergeCell ref="CR13:CS13"/>
    <mergeCell ref="CU13:CV13"/>
    <mergeCell ref="CX13:CY13"/>
    <mergeCell ref="DA13:DB13"/>
    <mergeCell ref="DE13:DF13"/>
    <mergeCell ref="DH13:DI13"/>
    <mergeCell ref="DK13:DL13"/>
    <mergeCell ref="DN13:DO13"/>
    <mergeCell ref="DR13:DS13"/>
    <mergeCell ref="DU13:DV13"/>
    <mergeCell ref="DX13:DY13"/>
    <mergeCell ref="EA13:EB13"/>
    <mergeCell ref="EE13:EF13"/>
    <mergeCell ref="EH13:EI13"/>
    <mergeCell ref="EK13:EL13"/>
    <mergeCell ref="EN13:EO13"/>
    <mergeCell ref="ER13:ES13"/>
    <mergeCell ref="EU13:EV13"/>
    <mergeCell ref="EX13:EY13"/>
    <mergeCell ref="FA13:FB13"/>
    <mergeCell ref="BE14:BF14"/>
    <mergeCell ref="BH14:BI14"/>
    <mergeCell ref="BK14:BL14"/>
    <mergeCell ref="BN14:BO14"/>
    <mergeCell ref="BR14:BS14"/>
    <mergeCell ref="BU14:BV14"/>
    <mergeCell ref="BX14:BY14"/>
    <mergeCell ref="CA14:CB14"/>
    <mergeCell ref="CE14:CF14"/>
    <mergeCell ref="CH14:CI14"/>
    <mergeCell ref="CK14:CL14"/>
    <mergeCell ref="CN14:CO14"/>
    <mergeCell ref="CR14:CS14"/>
    <mergeCell ref="CU14:CV14"/>
    <mergeCell ref="CX14:CY14"/>
    <mergeCell ref="DA14:DB14"/>
    <mergeCell ref="DE14:DF14"/>
    <mergeCell ref="DH14:DI14"/>
    <mergeCell ref="EN14:EO14"/>
    <mergeCell ref="ER14:ES14"/>
    <mergeCell ref="EU14:EV14"/>
    <mergeCell ref="EX14:EY14"/>
    <mergeCell ref="FA14:FB14"/>
    <mergeCell ref="DK14:DL14"/>
    <mergeCell ref="DN14:DO14"/>
    <mergeCell ref="DR14:DS14"/>
    <mergeCell ref="DU14:DV14"/>
    <mergeCell ref="DX14:DY14"/>
    <mergeCell ref="EA14:EB14"/>
    <mergeCell ref="EE14:EF14"/>
    <mergeCell ref="EH14:EI14"/>
    <mergeCell ref="EK14:EL1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DC606-A0F4-4F51-8E8B-DC7D451E6B17}">
  <sheetPr codeName="Sheet2"/>
  <dimension ref="B1:AD22"/>
  <sheetViews>
    <sheetView zoomScale="85" zoomScaleNormal="85" workbookViewId="0"/>
  </sheetViews>
  <sheetFormatPr defaultColWidth="8.85546875" defaultRowHeight="15" x14ac:dyDescent="0.25"/>
  <cols>
    <col min="1" max="16384" width="8.85546875" style="22"/>
  </cols>
  <sheetData>
    <row r="1" spans="2:30" ht="15.75" thickBot="1" x14ac:dyDescent="0.3"/>
    <row r="2" spans="2:30" ht="15" customHeight="1" x14ac:dyDescent="0.25">
      <c r="B2" s="265" t="s">
        <v>28</v>
      </c>
      <c r="C2" s="266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7"/>
    </row>
    <row r="3" spans="2:30" ht="15.95" customHeight="1" thickBot="1" x14ac:dyDescent="0.3">
      <c r="B3" s="268"/>
      <c r="C3" s="269"/>
      <c r="D3" s="269"/>
      <c r="E3" s="269"/>
      <c r="F3" s="269"/>
      <c r="G3" s="269"/>
      <c r="H3" s="269"/>
      <c r="I3" s="269"/>
      <c r="J3" s="269"/>
      <c r="K3" s="269"/>
      <c r="L3" s="269"/>
      <c r="M3" s="269"/>
      <c r="N3" s="269"/>
      <c r="O3" s="269"/>
      <c r="P3" s="269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69"/>
      <c r="AC3" s="269"/>
      <c r="AD3" s="270"/>
    </row>
    <row r="21" ht="15" customHeight="1" x14ac:dyDescent="0.25"/>
    <row r="22" ht="15.75" customHeight="1" x14ac:dyDescent="0.25"/>
  </sheetData>
  <sheetProtection algorithmName="SHA-512" hashValue="UFixBRACau5/7adZKzO78K9hOy45mikoSML7KxMOqeQPlKBW8GbnGvro7GLwUyOO9LDoHDvsznKkqAsQK+F3Eg==" saltValue="IWAUF9B8e3+k20M8iVr0jw==" spinCount="100000" sheet="1" selectLockedCells="1"/>
  <mergeCells count="1">
    <mergeCell ref="B2:AD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Checking Status</vt:lpstr>
      <vt:lpstr>Budget</vt:lpstr>
      <vt:lpstr>Clocked Hours</vt:lpstr>
      <vt:lpstr>Paycheck</vt:lpstr>
      <vt:lpstr>Financing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2019-01-02T00:03:35Z</dcterms:modified>
</cp:coreProperties>
</file>