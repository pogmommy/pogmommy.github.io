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ahgomez/Documents/School/College/BSU/2022-01SPRING/PHIL209/"/>
    </mc:Choice>
  </mc:AlternateContent>
  <xr:revisionPtr revIDLastSave="0" documentId="13_ncr:1_{09763924-36A9-6E43-9F47-45888689B90D}" xr6:coauthVersionLast="47" xr6:coauthVersionMax="47" xr10:uidLastSave="{00000000-0000-0000-0000-000000000000}"/>
  <bookViews>
    <workbookView xWindow="0" yWindow="500" windowWidth="25600" windowHeight="14040" xr2:uid="{6421C279-B352-6346-A45F-6F21D3451D93}"/>
  </bookViews>
  <sheets>
    <sheet name="Demo" sheetId="1" r:id="rId1"/>
    <sheet name="Truth Table" sheetId="2" r:id="rId2"/>
    <sheet name="Helper (Ignore)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B2" i="3" s="1"/>
  <c r="B4" i="2" s="1"/>
  <c r="F21" i="1" a="1"/>
  <c r="F20" i="1" a="1"/>
  <c r="F24" i="1" a="1"/>
  <c r="F22" i="1" a="1"/>
  <c r="F25" i="1" a="1"/>
  <c r="F19" i="1" a="1"/>
  <c r="F23" i="1" a="1"/>
  <c r="F18" i="1" a="1"/>
  <c r="J11" i="1" a="1"/>
  <c r="I10" i="1" a="1"/>
  <c r="G11" i="1" a="1"/>
  <c r="J8" i="1" a="1"/>
  <c r="F9" i="1" a="1"/>
  <c r="E9" i="1" a="1"/>
  <c r="G10" i="1" a="1"/>
  <c r="F8" i="1" a="1"/>
  <c r="J10" i="1" a="1"/>
  <c r="I11" i="1" a="1"/>
  <c r="H9" i="1" a="1"/>
  <c r="I8" i="1" a="1"/>
  <c r="F11" i="1" a="1"/>
  <c r="E11" i="1" a="1"/>
  <c r="I9" i="1" a="1"/>
  <c r="G8" i="1" a="1"/>
  <c r="J9" i="1" a="1"/>
  <c r="G9" i="1" a="1"/>
  <c r="H10" i="1" a="1"/>
  <c r="H8" i="1" a="1"/>
  <c r="F10" i="1" a="1"/>
  <c r="E10" i="1" a="1"/>
  <c r="H11" i="1" a="1"/>
  <c r="E8" i="1" a="1"/>
  <c r="C2" i="3" l="1"/>
  <c r="H2" i="3" s="1"/>
  <c r="J2" i="3" s="1"/>
  <c r="L2" i="3" s="1"/>
  <c r="N2" i="3" s="1"/>
  <c r="F23" i="1"/>
  <c r="F19" i="1"/>
  <c r="F25" i="1"/>
  <c r="F22" i="1"/>
  <c r="F24" i="1"/>
  <c r="F20" i="1"/>
  <c r="F21" i="1"/>
  <c r="F18" i="1"/>
  <c r="Q31" i="2"/>
  <c r="Q27" i="2"/>
  <c r="Q23" i="2"/>
  <c r="Q19" i="2"/>
  <c r="Q15" i="2"/>
  <c r="Q11" i="2"/>
  <c r="Q33" i="2"/>
  <c r="Q34" i="2"/>
  <c r="Q30" i="2"/>
  <c r="Q26" i="2"/>
  <c r="Q22" i="2"/>
  <c r="Q18" i="2"/>
  <c r="Q14" i="2"/>
  <c r="Q29" i="2"/>
  <c r="Q25" i="2"/>
  <c r="Q21" i="2"/>
  <c r="Q17" i="2"/>
  <c r="Q13" i="2"/>
  <c r="Q32" i="2"/>
  <c r="Q28" i="2"/>
  <c r="Q24" i="2"/>
  <c r="Q20" i="2"/>
  <c r="Q16" i="2"/>
  <c r="Q12" i="2"/>
  <c r="J9" i="1"/>
  <c r="J10" i="1"/>
  <c r="J11" i="1"/>
  <c r="I11" i="1"/>
  <c r="I10" i="1"/>
  <c r="I9" i="1"/>
  <c r="H11" i="1"/>
  <c r="H10" i="1"/>
  <c r="H9" i="1"/>
  <c r="G11" i="1"/>
  <c r="G10" i="1"/>
  <c r="G9" i="1"/>
  <c r="J8" i="1"/>
  <c r="I8" i="1"/>
  <c r="H8" i="1"/>
  <c r="G8" i="1"/>
  <c r="F10" i="1"/>
  <c r="F11" i="1"/>
  <c r="F9" i="1"/>
  <c r="F8" i="1"/>
  <c r="E10" i="1"/>
  <c r="E11" i="1"/>
  <c r="E9" i="1"/>
  <c r="E8" i="1"/>
  <c r="B3" i="2"/>
  <c r="B31" i="2"/>
  <c r="B27" i="2"/>
  <c r="B23" i="2"/>
  <c r="B19" i="2"/>
  <c r="B15" i="2"/>
  <c r="B11" i="2"/>
  <c r="B7" i="2"/>
  <c r="B34" i="2"/>
  <c r="B30" i="2"/>
  <c r="B26" i="2"/>
  <c r="B22" i="2"/>
  <c r="B18" i="2"/>
  <c r="B14" i="2"/>
  <c r="B10" i="2"/>
  <c r="B6" i="2"/>
  <c r="B33" i="2"/>
  <c r="B29" i="2"/>
  <c r="B25" i="2"/>
  <c r="B21" i="2"/>
  <c r="B17" i="2"/>
  <c r="B13" i="2"/>
  <c r="B9" i="2"/>
  <c r="B5" i="2"/>
  <c r="B32" i="2"/>
  <c r="B28" i="2"/>
  <c r="B24" i="2"/>
  <c r="B20" i="2"/>
  <c r="B16" i="2"/>
  <c r="B12" i="2"/>
  <c r="B8" i="2"/>
  <c r="N35" i="3" l="1"/>
  <c r="O35" i="3" s="1"/>
  <c r="G34" i="2" s="1"/>
  <c r="N33" i="3"/>
  <c r="O33" i="3" s="1"/>
  <c r="G32" i="2" s="1"/>
  <c r="N31" i="3"/>
  <c r="O31" i="3" s="1"/>
  <c r="G30" i="2" s="1"/>
  <c r="N29" i="3"/>
  <c r="O29" i="3" s="1"/>
  <c r="G28" i="2" s="1"/>
  <c r="N27" i="3"/>
  <c r="O27" i="3" s="1"/>
  <c r="G26" i="2" s="1"/>
  <c r="N25" i="3"/>
  <c r="O25" i="3" s="1"/>
  <c r="G24" i="2" s="1"/>
  <c r="N23" i="3"/>
  <c r="O23" i="3" s="1"/>
  <c r="G22" i="2" s="1"/>
  <c r="N21" i="3"/>
  <c r="O21" i="3" s="1"/>
  <c r="G20" i="2" s="1"/>
  <c r="N19" i="3"/>
  <c r="O19" i="3" s="1"/>
  <c r="G18" i="2" s="1"/>
  <c r="N17" i="3"/>
  <c r="O17" i="3" s="1"/>
  <c r="G16" i="2" s="1"/>
  <c r="N15" i="3"/>
  <c r="O15" i="3" s="1"/>
  <c r="G14" i="2" s="1"/>
  <c r="N13" i="3"/>
  <c r="O13" i="3" s="1"/>
  <c r="G12" i="2" s="1"/>
  <c r="N11" i="3"/>
  <c r="O11" i="3" s="1"/>
  <c r="G10" i="2" s="1"/>
  <c r="N9" i="3"/>
  <c r="O9" i="3" s="1"/>
  <c r="G8" i="2" s="1"/>
  <c r="N7" i="3"/>
  <c r="O7" i="3" s="1"/>
  <c r="G6" i="2" s="1"/>
  <c r="N5" i="3"/>
  <c r="O5" i="3" s="1"/>
  <c r="G4" i="2" s="1"/>
  <c r="N34" i="3"/>
  <c r="O34" i="3" s="1"/>
  <c r="G33" i="2" s="1"/>
  <c r="N32" i="3"/>
  <c r="O32" i="3" s="1"/>
  <c r="G31" i="2" s="1"/>
  <c r="N30" i="3"/>
  <c r="O30" i="3" s="1"/>
  <c r="G29" i="2" s="1"/>
  <c r="N28" i="3"/>
  <c r="O28" i="3" s="1"/>
  <c r="G27" i="2" s="1"/>
  <c r="N26" i="3"/>
  <c r="O26" i="3" s="1"/>
  <c r="G25" i="2" s="1"/>
  <c r="N24" i="3"/>
  <c r="O24" i="3" s="1"/>
  <c r="G23" i="2" s="1"/>
  <c r="N22" i="3"/>
  <c r="O22" i="3" s="1"/>
  <c r="G21" i="2" s="1"/>
  <c r="N20" i="3"/>
  <c r="O20" i="3" s="1"/>
  <c r="G19" i="2" s="1"/>
  <c r="N18" i="3"/>
  <c r="O18" i="3" s="1"/>
  <c r="G17" i="2" s="1"/>
  <c r="N16" i="3"/>
  <c r="O16" i="3" s="1"/>
  <c r="G15" i="2" s="1"/>
  <c r="N14" i="3"/>
  <c r="O14" i="3" s="1"/>
  <c r="G13" i="2" s="1"/>
  <c r="N12" i="3"/>
  <c r="O12" i="3" s="1"/>
  <c r="G11" i="2" s="1"/>
  <c r="N10" i="3"/>
  <c r="O10" i="3" s="1"/>
  <c r="G9" i="2" s="1"/>
  <c r="N8" i="3"/>
  <c r="O8" i="3" s="1"/>
  <c r="G7" i="2" s="1"/>
  <c r="N6" i="3"/>
  <c r="O6" i="3" s="1"/>
  <c r="G5" i="2" s="1"/>
  <c r="N4" i="3"/>
  <c r="O4" i="3" s="1"/>
  <c r="G3" i="2" s="1"/>
  <c r="L20" i="3"/>
  <c r="M20" i="3" s="1"/>
  <c r="F19" i="2" s="1"/>
  <c r="L30" i="3"/>
  <c r="M30" i="3" s="1"/>
  <c r="F29" i="2" s="1"/>
  <c r="L4" i="3"/>
  <c r="M4" i="3" s="1"/>
  <c r="F3" i="2" s="1"/>
  <c r="L6" i="3"/>
  <c r="M6" i="3" s="1"/>
  <c r="F5" i="2" s="1"/>
  <c r="L8" i="3"/>
  <c r="M8" i="3" s="1"/>
  <c r="F7" i="2" s="1"/>
  <c r="L10" i="3"/>
  <c r="M10" i="3" s="1"/>
  <c r="F9" i="2" s="1"/>
  <c r="L12" i="3"/>
  <c r="M12" i="3" s="1"/>
  <c r="F11" i="2" s="1"/>
  <c r="L18" i="3"/>
  <c r="M18" i="3" s="1"/>
  <c r="F17" i="2" s="1"/>
  <c r="L26" i="3"/>
  <c r="M26" i="3" s="1"/>
  <c r="F25" i="2" s="1"/>
  <c r="L34" i="3"/>
  <c r="M34" i="3" s="1"/>
  <c r="F33" i="2" s="1"/>
  <c r="L14" i="3"/>
  <c r="M14" i="3" s="1"/>
  <c r="F13" i="2" s="1"/>
  <c r="L24" i="3"/>
  <c r="M24" i="3" s="1"/>
  <c r="F23" i="2" s="1"/>
  <c r="L32" i="3"/>
  <c r="M32" i="3" s="1"/>
  <c r="F31" i="2" s="1"/>
  <c r="L5" i="3"/>
  <c r="M5" i="3" s="1"/>
  <c r="F4" i="2" s="1"/>
  <c r="L7" i="3"/>
  <c r="M7" i="3" s="1"/>
  <c r="F6" i="2" s="1"/>
  <c r="L9" i="3"/>
  <c r="M9" i="3" s="1"/>
  <c r="F8" i="2" s="1"/>
  <c r="L11" i="3"/>
  <c r="M11" i="3" s="1"/>
  <c r="F10" i="2" s="1"/>
  <c r="L13" i="3"/>
  <c r="M13" i="3" s="1"/>
  <c r="F12" i="2" s="1"/>
  <c r="L15" i="3"/>
  <c r="M15" i="3" s="1"/>
  <c r="F14" i="2" s="1"/>
  <c r="L17" i="3"/>
  <c r="M17" i="3" s="1"/>
  <c r="F16" i="2" s="1"/>
  <c r="L19" i="3"/>
  <c r="M19" i="3" s="1"/>
  <c r="F18" i="2" s="1"/>
  <c r="L21" i="3"/>
  <c r="M21" i="3" s="1"/>
  <c r="F20" i="2" s="1"/>
  <c r="L23" i="3"/>
  <c r="M23" i="3" s="1"/>
  <c r="F22" i="2" s="1"/>
  <c r="L25" i="3"/>
  <c r="M25" i="3" s="1"/>
  <c r="F24" i="2" s="1"/>
  <c r="L27" i="3"/>
  <c r="M27" i="3" s="1"/>
  <c r="F26" i="2" s="1"/>
  <c r="L29" i="3"/>
  <c r="M29" i="3" s="1"/>
  <c r="F28" i="2" s="1"/>
  <c r="L31" i="3"/>
  <c r="M31" i="3" s="1"/>
  <c r="F30" i="2" s="1"/>
  <c r="L33" i="3"/>
  <c r="M33" i="3" s="1"/>
  <c r="F32" i="2" s="1"/>
  <c r="L35" i="3"/>
  <c r="M35" i="3" s="1"/>
  <c r="F34" i="2" s="1"/>
  <c r="L16" i="3"/>
  <c r="M16" i="3" s="1"/>
  <c r="F15" i="2" s="1"/>
  <c r="L22" i="3"/>
  <c r="M22" i="3" s="1"/>
  <c r="F21" i="2" s="1"/>
  <c r="L28" i="3"/>
  <c r="M28" i="3" s="1"/>
  <c r="F27" i="2" s="1"/>
  <c r="J4" i="3"/>
  <c r="K4" i="3" s="1"/>
  <c r="E3" i="2" s="1"/>
  <c r="J6" i="3"/>
  <c r="K6" i="3" s="1"/>
  <c r="E5" i="2" s="1"/>
  <c r="J8" i="3"/>
  <c r="K8" i="3" s="1"/>
  <c r="E7" i="2" s="1"/>
  <c r="J10" i="3"/>
  <c r="K10" i="3" s="1"/>
  <c r="E9" i="2" s="1"/>
  <c r="J12" i="3"/>
  <c r="K12" i="3" s="1"/>
  <c r="E11" i="2" s="1"/>
  <c r="J14" i="3"/>
  <c r="K14" i="3" s="1"/>
  <c r="E13" i="2" s="1"/>
  <c r="J16" i="3"/>
  <c r="K16" i="3" s="1"/>
  <c r="E15" i="2" s="1"/>
  <c r="J18" i="3"/>
  <c r="K18" i="3" s="1"/>
  <c r="E17" i="2" s="1"/>
  <c r="J20" i="3"/>
  <c r="K20" i="3" s="1"/>
  <c r="E19" i="2" s="1"/>
  <c r="J22" i="3"/>
  <c r="K22" i="3" s="1"/>
  <c r="E21" i="2" s="1"/>
  <c r="J24" i="3"/>
  <c r="K24" i="3" s="1"/>
  <c r="E23" i="2" s="1"/>
  <c r="J26" i="3"/>
  <c r="K26" i="3" s="1"/>
  <c r="E25" i="2" s="1"/>
  <c r="J28" i="3"/>
  <c r="K28" i="3" s="1"/>
  <c r="E27" i="2" s="1"/>
  <c r="J30" i="3"/>
  <c r="K30" i="3" s="1"/>
  <c r="E29" i="2" s="1"/>
  <c r="J32" i="3"/>
  <c r="K32" i="3" s="1"/>
  <c r="E31" i="2" s="1"/>
  <c r="J34" i="3"/>
  <c r="K34" i="3" s="1"/>
  <c r="E33" i="2" s="1"/>
  <c r="J5" i="3"/>
  <c r="K5" i="3" s="1"/>
  <c r="E4" i="2" s="1"/>
  <c r="J7" i="3"/>
  <c r="K7" i="3" s="1"/>
  <c r="E6" i="2" s="1"/>
  <c r="J9" i="3"/>
  <c r="K9" i="3" s="1"/>
  <c r="E8" i="2" s="1"/>
  <c r="J11" i="3"/>
  <c r="K11" i="3" s="1"/>
  <c r="E10" i="2" s="1"/>
  <c r="J13" i="3"/>
  <c r="K13" i="3" s="1"/>
  <c r="E12" i="2" s="1"/>
  <c r="J15" i="3"/>
  <c r="K15" i="3" s="1"/>
  <c r="E14" i="2" s="1"/>
  <c r="J17" i="3"/>
  <c r="K17" i="3" s="1"/>
  <c r="E16" i="2" s="1"/>
  <c r="J19" i="3"/>
  <c r="K19" i="3" s="1"/>
  <c r="E18" i="2" s="1"/>
  <c r="J21" i="3"/>
  <c r="K21" i="3" s="1"/>
  <c r="E20" i="2" s="1"/>
  <c r="J23" i="3"/>
  <c r="K23" i="3" s="1"/>
  <c r="E22" i="2" s="1"/>
  <c r="J25" i="3"/>
  <c r="K25" i="3" s="1"/>
  <c r="E24" i="2" s="1"/>
  <c r="J27" i="3"/>
  <c r="K27" i="3" s="1"/>
  <c r="E26" i="2" s="1"/>
  <c r="J29" i="3"/>
  <c r="K29" i="3" s="1"/>
  <c r="E28" i="2" s="1"/>
  <c r="J31" i="3"/>
  <c r="K31" i="3" s="1"/>
  <c r="E30" i="2" s="1"/>
  <c r="J33" i="3"/>
  <c r="K33" i="3" s="1"/>
  <c r="E32" i="2" s="1"/>
  <c r="J35" i="3"/>
  <c r="K35" i="3" s="1"/>
  <c r="E34" i="2" s="1"/>
  <c r="H8" i="3"/>
  <c r="I8" i="3" s="1"/>
  <c r="D7" i="2" s="1"/>
  <c r="H18" i="3"/>
  <c r="I18" i="3" s="1"/>
  <c r="D17" i="2" s="1"/>
  <c r="H28" i="3"/>
  <c r="I28" i="3" s="1"/>
  <c r="D27" i="2" s="1"/>
  <c r="H34" i="3"/>
  <c r="I34" i="3" s="1"/>
  <c r="D33" i="2" s="1"/>
  <c r="H6" i="3"/>
  <c r="I6" i="3" s="1"/>
  <c r="D5" i="2" s="1"/>
  <c r="H10" i="3"/>
  <c r="I10" i="3" s="1"/>
  <c r="D9" i="2" s="1"/>
  <c r="H14" i="3"/>
  <c r="I14" i="3" s="1"/>
  <c r="D13" i="2" s="1"/>
  <c r="H20" i="3"/>
  <c r="I20" i="3" s="1"/>
  <c r="D19" i="2" s="1"/>
  <c r="H26" i="3"/>
  <c r="I26" i="3" s="1"/>
  <c r="D25" i="2" s="1"/>
  <c r="H32" i="3"/>
  <c r="I32" i="3" s="1"/>
  <c r="D31" i="2" s="1"/>
  <c r="H5" i="3"/>
  <c r="I5" i="3" s="1"/>
  <c r="D4" i="2" s="1"/>
  <c r="H7" i="3"/>
  <c r="I7" i="3" s="1"/>
  <c r="D6" i="2" s="1"/>
  <c r="H9" i="3"/>
  <c r="I9" i="3" s="1"/>
  <c r="D8" i="2" s="1"/>
  <c r="H11" i="3"/>
  <c r="I11" i="3" s="1"/>
  <c r="D10" i="2" s="1"/>
  <c r="H13" i="3"/>
  <c r="I13" i="3" s="1"/>
  <c r="D12" i="2" s="1"/>
  <c r="H15" i="3"/>
  <c r="I15" i="3" s="1"/>
  <c r="D14" i="2" s="1"/>
  <c r="H17" i="3"/>
  <c r="I17" i="3" s="1"/>
  <c r="D16" i="2" s="1"/>
  <c r="H19" i="3"/>
  <c r="I19" i="3" s="1"/>
  <c r="D18" i="2" s="1"/>
  <c r="H21" i="3"/>
  <c r="I21" i="3" s="1"/>
  <c r="D20" i="2" s="1"/>
  <c r="H23" i="3"/>
  <c r="I23" i="3" s="1"/>
  <c r="D22" i="2" s="1"/>
  <c r="H25" i="3"/>
  <c r="I25" i="3" s="1"/>
  <c r="D24" i="2" s="1"/>
  <c r="H27" i="3"/>
  <c r="I27" i="3" s="1"/>
  <c r="D26" i="2" s="1"/>
  <c r="H29" i="3"/>
  <c r="I29" i="3" s="1"/>
  <c r="D28" i="2" s="1"/>
  <c r="H31" i="3"/>
  <c r="I31" i="3" s="1"/>
  <c r="D30" i="2" s="1"/>
  <c r="H33" i="3"/>
  <c r="I33" i="3" s="1"/>
  <c r="D32" i="2" s="1"/>
  <c r="H35" i="3"/>
  <c r="I35" i="3" s="1"/>
  <c r="D34" i="2" s="1"/>
  <c r="H4" i="3"/>
  <c r="I4" i="3" s="1"/>
  <c r="D3" i="2" s="1"/>
  <c r="H12" i="3"/>
  <c r="I12" i="3" s="1"/>
  <c r="D11" i="2" s="1"/>
  <c r="H16" i="3"/>
  <c r="I16" i="3" s="1"/>
  <c r="D15" i="2" s="1"/>
  <c r="H22" i="3"/>
  <c r="I22" i="3" s="1"/>
  <c r="D21" i="2" s="1"/>
  <c r="H24" i="3"/>
  <c r="I24" i="3" s="1"/>
  <c r="D23" i="2" s="1"/>
  <c r="H30" i="3"/>
  <c r="I30" i="3" s="1"/>
  <c r="D29" i="2" s="1"/>
  <c r="F4" i="3"/>
  <c r="G4" i="3" s="1"/>
  <c r="C3" i="2" s="1"/>
  <c r="F6" i="3"/>
  <c r="G6" i="3" s="1"/>
  <c r="F8" i="3"/>
  <c r="G8" i="3" s="1"/>
  <c r="C7" i="2" s="1"/>
  <c r="F10" i="3"/>
  <c r="G10" i="3" s="1"/>
  <c r="F12" i="3"/>
  <c r="G12" i="3" s="1"/>
  <c r="C11" i="2" s="1"/>
  <c r="F14" i="3"/>
  <c r="G14" i="3" s="1"/>
  <c r="C13" i="2" s="1"/>
  <c r="F16" i="3"/>
  <c r="G16" i="3" s="1"/>
  <c r="C15" i="2" s="1"/>
  <c r="F18" i="3"/>
  <c r="G18" i="3" s="1"/>
  <c r="C17" i="2" s="1"/>
  <c r="F20" i="3"/>
  <c r="G20" i="3" s="1"/>
  <c r="C19" i="2" s="1"/>
  <c r="F22" i="3"/>
  <c r="G22" i="3" s="1"/>
  <c r="C21" i="2" s="1"/>
  <c r="F24" i="3"/>
  <c r="G24" i="3" s="1"/>
  <c r="C23" i="2" s="1"/>
  <c r="F26" i="3"/>
  <c r="G26" i="3" s="1"/>
  <c r="C25" i="2" s="1"/>
  <c r="F28" i="3"/>
  <c r="G28" i="3" s="1"/>
  <c r="C27" i="2" s="1"/>
  <c r="F30" i="3"/>
  <c r="G30" i="3" s="1"/>
  <c r="C29" i="2" s="1"/>
  <c r="F32" i="3"/>
  <c r="G32" i="3" s="1"/>
  <c r="C31" i="2" s="1"/>
  <c r="F34" i="3"/>
  <c r="G34" i="3" s="1"/>
  <c r="C33" i="2" s="1"/>
  <c r="F5" i="3"/>
  <c r="G5" i="3" s="1"/>
  <c r="C4" i="2" s="1"/>
  <c r="F7" i="3"/>
  <c r="G7" i="3" s="1"/>
  <c r="C6" i="2" s="1"/>
  <c r="F9" i="3"/>
  <c r="G9" i="3" s="1"/>
  <c r="F11" i="3"/>
  <c r="G11" i="3" s="1"/>
  <c r="F13" i="3"/>
  <c r="G13" i="3" s="1"/>
  <c r="C12" i="2" s="1"/>
  <c r="F15" i="3"/>
  <c r="G15" i="3" s="1"/>
  <c r="C14" i="2" s="1"/>
  <c r="F17" i="3"/>
  <c r="G17" i="3" s="1"/>
  <c r="C16" i="2" s="1"/>
  <c r="F19" i="3"/>
  <c r="G19" i="3" s="1"/>
  <c r="C18" i="2" s="1"/>
  <c r="F21" i="3"/>
  <c r="G21" i="3" s="1"/>
  <c r="C20" i="2" s="1"/>
  <c r="F23" i="3"/>
  <c r="G23" i="3" s="1"/>
  <c r="C22" i="2" s="1"/>
  <c r="F25" i="3"/>
  <c r="G25" i="3" s="1"/>
  <c r="C24" i="2" s="1"/>
  <c r="F27" i="3"/>
  <c r="G27" i="3" s="1"/>
  <c r="C26" i="2" s="1"/>
  <c r="F29" i="3"/>
  <c r="G29" i="3" s="1"/>
  <c r="C28" i="2" s="1"/>
  <c r="F31" i="3"/>
  <c r="G31" i="3" s="1"/>
  <c r="C30" i="2" s="1"/>
  <c r="F33" i="3"/>
  <c r="G33" i="3" s="1"/>
  <c r="C32" i="2" s="1"/>
  <c r="F35" i="3"/>
  <c r="G35" i="3" s="1"/>
  <c r="C34" i="2" s="1"/>
  <c r="O3" i="2" a="1"/>
  <c r="O4" i="2" a="1"/>
  <c r="O6" i="2" a="1"/>
  <c r="O7" i="2" a="1"/>
  <c r="J8" i="2" a="1"/>
  <c r="J3" i="2" a="1"/>
  <c r="I3" i="2" a="1"/>
  <c r="J4" i="2" a="1"/>
  <c r="J9" i="2" a="1"/>
  <c r="J6" i="2" a="1"/>
  <c r="I6" i="2" a="1"/>
  <c r="J10" i="2" a="1"/>
  <c r="I7" i="2" a="1"/>
  <c r="I4" i="2" a="1"/>
  <c r="J7" i="2" a="1"/>
  <c r="J5" i="2" a="1"/>
  <c r="O7" i="2" l="1"/>
  <c r="O6" i="2"/>
  <c r="O4" i="2"/>
  <c r="Q5" i="3" s="1"/>
  <c r="O3" i="2"/>
  <c r="Q4" i="3" s="1"/>
  <c r="Q8" i="3"/>
  <c r="Q7" i="3"/>
  <c r="J6" i="2"/>
  <c r="J3" i="2"/>
  <c r="J4" i="2"/>
  <c r="J10" i="2"/>
  <c r="J9" i="2"/>
  <c r="J8" i="2"/>
  <c r="J5" i="2"/>
  <c r="J7" i="2"/>
  <c r="I6" i="2"/>
  <c r="I3" i="2"/>
  <c r="P4" i="3" s="1"/>
  <c r="I4" i="2"/>
  <c r="I7" i="2"/>
  <c r="C10" i="2"/>
  <c r="C9" i="2"/>
  <c r="C8" i="2"/>
  <c r="C5" i="2"/>
  <c r="O8" i="2" a="1"/>
  <c r="O5" i="2" a="1"/>
  <c r="O9" i="2" a="1"/>
  <c r="O10" i="2" a="1"/>
  <c r="I10" i="2" a="1"/>
  <c r="I5" i="2" a="1"/>
  <c r="I9" i="2" a="1"/>
  <c r="I8" i="2" a="1"/>
  <c r="O10" i="2" l="1"/>
  <c r="O9" i="2"/>
  <c r="Q10" i="3" s="1"/>
  <c r="O5" i="2"/>
  <c r="O8" i="2"/>
  <c r="Q9" i="3" s="1"/>
  <c r="I5" i="2"/>
  <c r="I8" i="2"/>
  <c r="P9" i="3" s="1"/>
  <c r="I9" i="2"/>
  <c r="P10" i="3" s="1"/>
  <c r="I10" i="2"/>
  <c r="P11" i="3" s="1"/>
  <c r="Q6" i="3"/>
  <c r="Q11" i="3"/>
  <c r="P6" i="3"/>
  <c r="P5" i="3"/>
  <c r="P8" i="3"/>
  <c r="P7" i="3"/>
  <c r="Q5" i="2" l="1"/>
  <c r="Q3" i="2"/>
  <c r="Q6" i="2"/>
  <c r="Q7" i="2"/>
  <c r="Q8" i="2"/>
  <c r="Q10" i="2"/>
  <c r="Q4" i="2"/>
  <c r="Q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2" authorId="0" shapeId="0" xr:uid="{6EF5322E-1FD1-C54D-BCD4-F231EBC5929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put a period in the variable name to leave it blank!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<sst xmlns="http://schemas.openxmlformats.org/spreadsheetml/2006/main" count="44" uniqueCount="39">
  <si>
    <t>AND</t>
  </si>
  <si>
    <t>OR</t>
  </si>
  <si>
    <t>IF</t>
  </si>
  <si>
    <t>BICONDITIONAL</t>
  </si>
  <si>
    <t>NOT A</t>
  </si>
  <si>
    <t>NOT B</t>
  </si>
  <si>
    <t>variable count</t>
  </si>
  <si>
    <t>CONCLUSION</t>
  </si>
  <si>
    <t>PREMISE 1</t>
  </si>
  <si>
    <t>PREMISE 2</t>
  </si>
  <si>
    <t>PREMISE 3</t>
  </si>
  <si>
    <t>PREMISE 4</t>
  </si>
  <si>
    <t>PREMISE 5</t>
  </si>
  <si>
    <t>PREMISE 6</t>
  </si>
  <si>
    <t>VALIDITY CHECK</t>
  </si>
  <si>
    <t>Truth Table Demonstration</t>
  </si>
  <si>
    <t>A</t>
  </si>
  <si>
    <t>B</t>
  </si>
  <si>
    <t>Formulas can also be nested to create full premises and conclusions.</t>
  </si>
  <si>
    <t>Premise:</t>
  </si>
  <si>
    <t>C</t>
  </si>
  <si>
    <t>Equation entered with spreadsheet formulas</t>
  </si>
  <si>
    <t>Column1</t>
  </si>
  <si>
    <t>¬((C ∧ B) ∨ (A ∧ B))</t>
  </si>
  <si>
    <t>Var5</t>
  </si>
  <si>
    <t>Var3</t>
  </si>
  <si>
    <t>Var4</t>
  </si>
  <si>
    <t>Var2</t>
  </si>
  <si>
    <t>Var1</t>
  </si>
  <si>
    <t>No</t>
  </si>
  <si>
    <t>Row #</t>
  </si>
  <si>
    <t>Validity</t>
  </si>
  <si>
    <t>.</t>
  </si>
  <si>
    <t>IGNORE ME</t>
  </si>
  <si>
    <t>IGNORE ME2</t>
  </si>
  <si>
    <t>To prevent accidental user damage rendering the spreadsheet unusable or innaccurate, most of the spreadsheet has been locked.</t>
  </si>
  <si>
    <t>You can select all of the cells you'll need to in order to use the truth table, as well as any functions/operations on this Demo sheet.</t>
  </si>
  <si>
    <t>This spreadsheet uses custom functions to make handling function entry easier. Below you can see a breakdown of how each function works.</t>
  </si>
  <si>
    <t>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</si>
</sst>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/>
      <right style="medium">
        <color indexed="64"/>
      </right>
      <top/>
      <bottom style="thick">
        <color theme="4" tint="0.499984740745262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</borders>
  <cellStyleXfs count="4">
    <xf numFmtId="0" fontId="0" fillId="0" borderId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</cellStyleXfs>
  <cellXfs count="44">
    <xf numFmtId="0" fontId="0" fillId="0" borderId="0" xfId="0"/>
    <xf numFmtId="0" fontId="0" fillId="0" borderId="1" xfId="0" applyBorder="1"/>
    <xf numFmtId="0" fontId="0" fillId="0" borderId="0" xfId="0" applyBorder="1"/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2" borderId="0" xfId="0" applyFill="1"/>
    <xf numFmtId="0" fontId="0" fillId="2" borderId="0" xfId="0" applyFill="1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8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center"/>
    </xf>
    <xf numFmtId="0" fontId="0" fillId="2" borderId="11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8" xfId="2" applyBorder="1" applyAlignment="1">
      <alignment horizontal="center"/>
    </xf>
    <xf numFmtId="0" fontId="4" fillId="0" borderId="0" xfId="2" applyBorder="1" applyAlignment="1">
      <alignment horizontal="center"/>
    </xf>
    <xf numFmtId="0" fontId="4" fillId="0" borderId="9" xfId="2" applyBorder="1" applyAlignment="1">
      <alignment horizontal="center"/>
    </xf>
    <xf numFmtId="0" fontId="4" fillId="0" borderId="16" xfId="2" applyBorder="1" applyAlignment="1">
      <alignment horizontal="center"/>
    </xf>
    <xf numFmtId="0" fontId="4" fillId="0" borderId="3" xfId="2" applyBorder="1" applyAlignment="1">
      <alignment horizontal="center"/>
    </xf>
    <xf numFmtId="0" fontId="4" fillId="0" borderId="17" xfId="2" applyBorder="1" applyAlignment="1">
      <alignment horizontal="center"/>
    </xf>
    <xf numFmtId="0" fontId="3" fillId="0" borderId="13" xfId="1" applyBorder="1" applyAlignment="1">
      <alignment horizontal="center"/>
    </xf>
    <xf numFmtId="0" fontId="3" fillId="0" borderId="14" xfId="1" applyBorder="1" applyAlignment="1">
      <alignment horizontal="center"/>
    </xf>
    <xf numFmtId="0" fontId="3" fillId="0" borderId="15" xfId="1" applyBorder="1" applyAlignment="1">
      <alignment horizontal="center"/>
    </xf>
    <xf numFmtId="0" fontId="5" fillId="0" borderId="18" xfId="3" applyBorder="1" applyAlignment="1">
      <alignment horizontal="center" vertical="center"/>
    </xf>
    <xf numFmtId="0" fontId="5" fillId="0" borderId="4" xfId="3" applyBorder="1" applyAlignment="1">
      <alignment horizontal="center" vertical="center"/>
    </xf>
    <xf numFmtId="0" fontId="5" fillId="0" borderId="19" xfId="3" applyBorder="1" applyAlignment="1">
      <alignment horizontal="center" vertical="center"/>
    </xf>
    <xf numFmtId="0" fontId="5" fillId="0" borderId="18" xfId="3" applyBorder="1" applyAlignment="1">
      <alignment horizontal="center"/>
    </xf>
    <xf numFmtId="0" fontId="5" fillId="0" borderId="4" xfId="3" applyBorder="1" applyAlignment="1">
      <alignment horizontal="center"/>
    </xf>
    <xf numFmtId="0" fontId="5" fillId="0" borderId="19" xfId="3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4">
    <cellStyle name="Heading 1" xfId="1" builtinId="16"/>
    <cellStyle name="Heading 2" xfId="2" builtinId="17"/>
    <cellStyle name="Heading 3" xfId="3" builtinId="18"/>
    <cellStyle name="Normal" xfId="0" builtinId="0"/>
  </cellStyles>
  <dxfs count="34"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medium">
          <color indexed="64"/>
        </left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diagonalUp="0" diagonalDown="0"/>
    </dxf>
    <dxf>
      <border diagonalUp="0" diagonalDown="0">
        <left style="medium">
          <color indexed="64"/>
        </left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F33B3D-7E4B-3E45-883A-85D00EF187DB}" name="Table2" displayName="Table2" ref="B17:F25" totalsRowShown="0" headerRowDxfId="25" dataDxfId="24">
  <autoFilter ref="B17:F25" xr:uid="{22F33B3D-7E4B-3E45-883A-85D00EF187DB}"/>
  <tableColumns count="5">
    <tableColumn id="1" xr3:uid="{E07C3C3F-B220-F54F-93F4-F105F1014BD1}" name="A"/>
    <tableColumn id="2" xr3:uid="{7536F798-28B4-3B4A-AE3F-9339DD6133FF}" name="B"/>
    <tableColumn id="3" xr3:uid="{4CDE25C6-3A18-954F-84DE-CA6E17728FC1}" name="C"/>
    <tableColumn id="4" xr3:uid="{6427BC27-4B1E-AC41-B84D-A3FEB7ED54E7}" name="Column1" dataDxfId="23"/>
    <tableColumn id="5" xr3:uid="{19D4521C-83C0-3146-B73F-DF3F8EA0CD31}" name="Equation entered with spreadsheet formulas" dataDxfId="22">
      <calculatedColumnFormula array="1">LNOT(LOR(LAND(Table2[[#This Row],[C]],Table2[[#This Row],[B]]),LAND(Table2[[#This Row],[A]],Table2[[#This Row],[B]])))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B32F25-15EB-434F-BEFE-0D50C27F23B1}" name="TruthTable" displayName="TruthTable" ref="B2:Q34" totalsRowShown="0" headerRowDxfId="12">
  <autoFilter ref="B2:Q34" xr:uid="{26B32F25-15EB-434F-BEFE-0D50C27F23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59E2E79E-36B9-E246-91E7-B5BDFEEA1C96}" name="Row #" dataDxfId="11">
      <calculatedColumnFormula>IF('Helper (Ignore)'!E4&lt;'Helper (Ignore)'!$B$2+1,'Helper (Ignore)'!E4,"")</calculatedColumnFormula>
    </tableColumn>
    <tableColumn id="2" xr3:uid="{B4335636-8F92-CF42-B54F-5C4246E7C30E}" name="A">
      <calculatedColumnFormula>IF(COUNTIF(C$2,"&lt;&gt;*.*"),IF('Helper (Ignore)'!$E4&lt;'Helper (Ignore)'!$B$2+1,IF('Helper (Ignore)'!G4=1,"True","False"),""),"")</calculatedColumnFormula>
    </tableColumn>
    <tableColumn id="3" xr3:uid="{1ED7D00F-84F5-994C-93E7-C67145BF0A5F}" name="B">
      <calculatedColumnFormula>IF(COUNTIF(D$2,"&lt;&gt;*.*"),IF('Helper (Ignore)'!$E4&lt;'Helper (Ignore)'!$B$2+1,IF('Helper (Ignore)'!I4=1,"True","False"),""),"")</calculatedColumnFormula>
    </tableColumn>
    <tableColumn id="4" xr3:uid="{3886655E-5A54-ED4E-A765-CFAB3E571C9D}" name="C">
      <calculatedColumnFormula>IF(COUNTIF(E$2,"&lt;&gt;*.*"),IF('Helper (Ignore)'!$E4&lt;'Helper (Ignore)'!$B$2+1,IF('Helper (Ignore)'!K4=1,"True","False"),""),"")</calculatedColumnFormula>
    </tableColumn>
    <tableColumn id="5" xr3:uid="{5E188784-BE13-BC4B-9A56-936FD329969A}" name=".">
      <calculatedColumnFormula>IF(COUNTIF(F$2,"&lt;&gt;*.*"),IF('Helper (Ignore)'!$E4&lt;'Helper (Ignore)'!$B$2+1,IF('Helper (Ignore)'!M4=1,"True","False"),""),"")</calculatedColumnFormula>
    </tableColumn>
    <tableColumn id="6" xr3:uid="{8F133BDE-1F70-7B44-B5E1-B86CBC608069}" name=".2" dataDxfId="10">
      <calculatedColumnFormula>IF(COUNTIF(G$2,"&lt;&gt;*.*"),IF('Helper (Ignore)'!$E4&lt;'Helper (Ignore)'!$B$2+1,IF('Helper (Ignore)'!O4=1,"True","False"),""),"")</calculatedColumnFormula>
    </tableColumn>
    <tableColumn id="7" xr3:uid="{F9C0779B-6AB0-844A-A1D9-D0BE55F9CF7F}" name="IGNORE ME" dataDxfId="9"/>
    <tableColumn id="8" xr3:uid="{E0AE687A-774F-B149-86E8-CE5F95622F7B}" name="PREMISE 1" dataDxfId="8"/>
    <tableColumn id="9" xr3:uid="{1181FE5C-E1D9-174C-AB47-8E7D24A5E4CA}" name="PREMISE 2" dataDxfId="7"/>
    <tableColumn id="10" xr3:uid="{D054D89E-534C-474E-9D36-7D29DA9C8A0E}" name="PREMISE 3" dataDxfId="6"/>
    <tableColumn id="11" xr3:uid="{2C1A8553-3F3A-CA4F-8C29-75516D9E7433}" name="PREMISE 4" dataDxfId="5"/>
    <tableColumn id="12" xr3:uid="{11840CCF-09F0-724F-8A5F-F6B7FBBA30D8}" name="PREMISE 5" dataDxfId="4"/>
    <tableColumn id="13" xr3:uid="{185CCABE-C7C6-3143-8CB6-528F07C5259F}" name="PREMISE 6" dataDxfId="3"/>
    <tableColumn id="14" xr3:uid="{20D4C93A-8A9C-EC4A-93E5-B35C602EF6FF}" name="CONCLUSION" dataDxfId="2"/>
    <tableColumn id="15" xr3:uid="{CA2FB819-8FFF-1B46-A3BC-C6022911D2C7}" name="IGNORE ME2" dataDxfId="1"/>
    <tableColumn id="16" xr3:uid="{B137C2A0-1AC3-5F4B-A2C9-068B96B6FDBA}" name="VALIDITY CHECK" dataDxfId="0">
      <calculatedColumnFormula>IF('Helper (Ignore)'!E4&lt;'Helper (Ignore)'!$B$2+1,IF('Helper (Ignore)'!P4,IF('Helper (Ignore)'!Q4,"INVALID","VALID"),"VALID"),"")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53ECD-9A60-234A-A538-E45F1A49F2F5}">
  <sheetPr codeName="Sheet1"/>
  <dimension ref="B1:J25"/>
  <sheetViews>
    <sheetView tabSelected="1" workbookViewId="0">
      <selection activeCell="E8" sqref="E8"/>
    </sheetView>
  </sheetViews>
  <sheetFormatPr baseColWidth="10" defaultRowHeight="16" x14ac:dyDescent="0.2"/>
  <cols>
    <col min="1" max="5" width="10.83203125" style="6"/>
    <col min="6" max="6" width="40" style="6" customWidth="1"/>
    <col min="7" max="9" width="10.83203125" style="6"/>
    <col min="10" max="10" width="14.33203125" style="6" bestFit="1" customWidth="1"/>
    <col min="11" max="16384" width="10.83203125" style="6"/>
  </cols>
  <sheetData>
    <row r="1" spans="2:10" ht="17" thickBot="1" x14ac:dyDescent="0.25"/>
    <row r="2" spans="2:10" ht="21" thickBot="1" x14ac:dyDescent="0.3">
      <c r="B2" s="33" t="s">
        <v>15</v>
      </c>
      <c r="C2" s="34"/>
      <c r="D2" s="34"/>
      <c r="E2" s="34"/>
      <c r="F2" s="34"/>
      <c r="G2" s="34"/>
      <c r="H2" s="34"/>
      <c r="I2" s="34"/>
      <c r="J2" s="35"/>
    </row>
    <row r="3" spans="2:10" ht="17" customHeight="1" thickTop="1" x14ac:dyDescent="0.2">
      <c r="B3" s="27" t="s">
        <v>35</v>
      </c>
      <c r="C3" s="28"/>
      <c r="D3" s="28"/>
      <c r="E3" s="28"/>
      <c r="F3" s="28"/>
      <c r="G3" s="28"/>
      <c r="H3" s="28"/>
      <c r="I3" s="28"/>
      <c r="J3" s="29"/>
    </row>
    <row r="4" spans="2:10" ht="18" thickBot="1" x14ac:dyDescent="0.25">
      <c r="B4" s="30" t="s">
        <v>36</v>
      </c>
      <c r="C4" s="31"/>
      <c r="D4" s="31"/>
      <c r="E4" s="31"/>
      <c r="F4" s="31"/>
      <c r="G4" s="31"/>
      <c r="H4" s="31"/>
      <c r="I4" s="31"/>
      <c r="J4" s="32"/>
    </row>
    <row r="5" spans="2:10" ht="18" thickTop="1" thickBot="1" x14ac:dyDescent="0.25">
      <c r="B5" s="36" t="s">
        <v>37</v>
      </c>
      <c r="C5" s="37"/>
      <c r="D5" s="37"/>
      <c r="E5" s="37"/>
      <c r="F5" s="37"/>
      <c r="G5" s="37"/>
      <c r="H5" s="37"/>
      <c r="I5" s="37"/>
      <c r="J5" s="38"/>
    </row>
    <row r="6" spans="2:10" x14ac:dyDescent="0.2">
      <c r="B6" s="10"/>
      <c r="C6" s="2"/>
      <c r="D6" s="2"/>
      <c r="E6" s="2"/>
      <c r="F6" s="2"/>
      <c r="G6" s="2"/>
      <c r="H6" s="2"/>
      <c r="I6" s="2"/>
      <c r="J6" s="11"/>
    </row>
    <row r="7" spans="2:10" x14ac:dyDescent="0.2">
      <c r="B7" s="10" t="s">
        <v>16</v>
      </c>
      <c r="C7" s="2" t="s">
        <v>17</v>
      </c>
      <c r="D7" s="2"/>
      <c r="E7" s="2" t="s">
        <v>4</v>
      </c>
      <c r="F7" s="2" t="s">
        <v>5</v>
      </c>
      <c r="G7" s="2" t="s">
        <v>0</v>
      </c>
      <c r="H7" s="2" t="s">
        <v>1</v>
      </c>
      <c r="I7" s="2" t="s">
        <v>2</v>
      </c>
      <c r="J7" s="11" t="s">
        <v>3</v>
      </c>
    </row>
    <row r="8" spans="2:10" x14ac:dyDescent="0.2">
      <c r="B8" s="10" t="b">
        <v>0</v>
      </c>
      <c r="C8" s="2" t="b">
        <v>0</v>
      </c>
      <c r="D8" s="2"/>
      <c r="E8" s="16" t="str" cm="1">
        <f t="array" ref="E8">LNOT(B8)</f>
        <v>True</v>
      </c>
      <c r="F8" s="16" t="str" cm="1">
        <f t="array" ref="F8">LNOT(C8)</f>
        <v>True</v>
      </c>
      <c r="G8" s="16" t="str" cm="1">
        <f t="array" ref="G8">LAND(B8,C8)</f>
        <v>False</v>
      </c>
      <c r="H8" s="16" t="str" cm="1">
        <f t="array" ref="H8">LOR(B8,C8)</f>
        <v>False</v>
      </c>
      <c r="I8" s="16" t="str" cm="1">
        <f t="array" ref="I8">LIF(B8,C8)</f>
        <v>True</v>
      </c>
      <c r="J8" s="17" t="str" cm="1">
        <f t="array" ref="J8">LBI(B8,C8)</f>
        <v>True</v>
      </c>
    </row>
    <row r="9" spans="2:10" x14ac:dyDescent="0.2">
      <c r="B9" s="10" t="b">
        <v>0</v>
      </c>
      <c r="C9" s="2" t="b">
        <v>1</v>
      </c>
      <c r="D9" s="2"/>
      <c r="E9" s="16" t="str" cm="1">
        <f t="array" ref="E9">LNOT(B9)</f>
        <v>True</v>
      </c>
      <c r="F9" s="16" t="str" cm="1">
        <f t="array" ref="F9">LNOT(C9)</f>
        <v>False</v>
      </c>
      <c r="G9" s="16" t="str" cm="1">
        <f t="array" ref="G9">LAND(B9,C9)</f>
        <v>False</v>
      </c>
      <c r="H9" s="16" t="str" cm="1">
        <f t="array" ref="H9">LOR(B9,C9)</f>
        <v>True</v>
      </c>
      <c r="I9" s="16" t="str" cm="1">
        <f t="array" ref="I9">LIF(B9,C9)</f>
        <v>True</v>
      </c>
      <c r="J9" s="17" t="str" cm="1">
        <f t="array" ref="J9">LBI(B9,C9)</f>
        <v>False</v>
      </c>
    </row>
    <row r="10" spans="2:10" x14ac:dyDescent="0.2">
      <c r="B10" s="10" t="b">
        <v>1</v>
      </c>
      <c r="C10" s="2" t="b">
        <v>0</v>
      </c>
      <c r="D10" s="2"/>
      <c r="E10" s="16" t="str" cm="1">
        <f t="array" ref="E10">LNOT(B10)</f>
        <v>False</v>
      </c>
      <c r="F10" s="16" t="str" cm="1">
        <f t="array" ref="F10">LNOT(C10)</f>
        <v>True</v>
      </c>
      <c r="G10" s="16" t="str" cm="1">
        <f t="array" ref="G10">LAND(B10,C10)</f>
        <v>False</v>
      </c>
      <c r="H10" s="16" t="str" cm="1">
        <f t="array" ref="H10">LOR(B10,C10)</f>
        <v>True</v>
      </c>
      <c r="I10" s="16" t="str" cm="1">
        <f t="array" ref="I10">LIF(B10,C10)</f>
        <v>False</v>
      </c>
      <c r="J10" s="17" t="str" cm="1">
        <f t="array" ref="J10">LBI(B10,C10)</f>
        <v>False</v>
      </c>
    </row>
    <row r="11" spans="2:10" x14ac:dyDescent="0.2">
      <c r="B11" s="10" t="b">
        <v>1</v>
      </c>
      <c r="C11" s="2" t="b">
        <v>1</v>
      </c>
      <c r="D11" s="2"/>
      <c r="E11" s="16" t="str" cm="1">
        <f t="array" ref="E11">LNOT(B11)</f>
        <v>False</v>
      </c>
      <c r="F11" s="16" t="str" cm="1">
        <f t="array" ref="F11">LNOT(C11)</f>
        <v>False</v>
      </c>
      <c r="G11" s="16" t="str" cm="1">
        <f t="array" ref="G11">LAND(B11,C11)</f>
        <v>True</v>
      </c>
      <c r="H11" s="16" t="str" cm="1">
        <f t="array" ref="H11">LOR(B11,C11)</f>
        <v>True</v>
      </c>
      <c r="I11" s="16" t="str" cm="1">
        <f t="array" ref="I11">LIF(B11,C11)</f>
        <v>True</v>
      </c>
      <c r="J11" s="17" t="str" cm="1">
        <f t="array" ref="J11">LBI(B11,C11)</f>
        <v>True</v>
      </c>
    </row>
    <row r="12" spans="2:10" x14ac:dyDescent="0.2">
      <c r="B12" s="10"/>
      <c r="C12" s="2"/>
      <c r="D12" s="2"/>
      <c r="E12" s="2"/>
      <c r="F12" s="2"/>
      <c r="G12" s="2"/>
      <c r="H12" s="2"/>
      <c r="I12" s="2"/>
      <c r="J12" s="11"/>
    </row>
    <row r="13" spans="2:10" ht="17" thickBot="1" x14ac:dyDescent="0.25">
      <c r="B13" s="39" t="s">
        <v>18</v>
      </c>
      <c r="C13" s="40"/>
      <c r="D13" s="40"/>
      <c r="E13" s="40"/>
      <c r="F13" s="40"/>
      <c r="G13" s="40"/>
      <c r="H13" s="40"/>
      <c r="I13" s="40"/>
      <c r="J13" s="41"/>
    </row>
    <row r="14" spans="2:10" x14ac:dyDescent="0.2">
      <c r="B14" s="10"/>
      <c r="C14" s="2"/>
      <c r="D14" s="2"/>
      <c r="E14" s="2"/>
      <c r="F14" s="2"/>
      <c r="G14" s="2"/>
      <c r="H14" s="2"/>
      <c r="I14" s="2"/>
      <c r="J14" s="11"/>
    </row>
    <row r="15" spans="2:10" x14ac:dyDescent="0.2">
      <c r="B15" s="22" t="s">
        <v>19</v>
      </c>
      <c r="C15" s="42" t="s">
        <v>23</v>
      </c>
      <c r="D15" s="42"/>
      <c r="E15" s="42"/>
      <c r="F15" s="42"/>
      <c r="G15" s="42"/>
      <c r="H15" s="42"/>
      <c r="I15" s="42"/>
      <c r="J15" s="43"/>
    </row>
    <row r="16" spans="2:10" x14ac:dyDescent="0.2">
      <c r="B16" s="10"/>
      <c r="C16" s="2"/>
      <c r="D16" s="2"/>
      <c r="E16" s="2"/>
      <c r="F16" s="2"/>
      <c r="G16" s="2"/>
      <c r="H16" s="2"/>
      <c r="I16" s="2"/>
      <c r="J16" s="11"/>
    </row>
    <row r="17" spans="2:10" x14ac:dyDescent="0.2">
      <c r="B17" s="10" t="s">
        <v>16</v>
      </c>
      <c r="C17" s="2" t="s">
        <v>17</v>
      </c>
      <c r="D17" s="2" t="s">
        <v>20</v>
      </c>
      <c r="E17" s="7" t="s">
        <v>22</v>
      </c>
      <c r="F17" s="4" t="s">
        <v>21</v>
      </c>
      <c r="G17" s="4"/>
      <c r="H17" s="4"/>
      <c r="I17" s="4"/>
      <c r="J17" s="23"/>
    </row>
    <row r="18" spans="2:10" x14ac:dyDescent="0.2">
      <c r="B18" s="10" t="b">
        <v>1</v>
      </c>
      <c r="C18" s="2" t="b">
        <v>1</v>
      </c>
      <c r="D18" s="2" t="b">
        <v>1</v>
      </c>
      <c r="E18" s="7"/>
      <c r="F18" s="16" t="str" cm="1">
        <f t="array" ref="F18">LNOT(LOR(LAND(Table2[[#This Row],[C]],Table2[[#This Row],[B]]),LAND(Table2[[#This Row],[A]],Table2[[#This Row],[B]])))</f>
        <v>False</v>
      </c>
      <c r="G18" s="4"/>
      <c r="H18" s="4"/>
      <c r="I18" s="4"/>
      <c r="J18" s="23"/>
    </row>
    <row r="19" spans="2:10" x14ac:dyDescent="0.2">
      <c r="B19" s="10" t="b">
        <v>1</v>
      </c>
      <c r="C19" s="2" t="b">
        <v>1</v>
      </c>
      <c r="D19" s="2" t="b">
        <v>0</v>
      </c>
      <c r="E19" s="7"/>
      <c r="F19" s="16" t="str" cm="1">
        <f t="array" ref="F19">LNOT(LOR(LAND(Table2[[#This Row],[C]],Table2[[#This Row],[B]]),LAND(Table2[[#This Row],[A]],Table2[[#This Row],[B]])))</f>
        <v>False</v>
      </c>
      <c r="G19" s="4"/>
      <c r="H19" s="4"/>
      <c r="I19" s="4"/>
      <c r="J19" s="23"/>
    </row>
    <row r="20" spans="2:10" x14ac:dyDescent="0.2">
      <c r="B20" s="10" t="b">
        <v>1</v>
      </c>
      <c r="C20" s="2" t="b">
        <v>0</v>
      </c>
      <c r="D20" s="2" t="b">
        <v>1</v>
      </c>
      <c r="E20" s="7"/>
      <c r="F20" s="16" t="str" cm="1">
        <f t="array" ref="F20">LNOT(LOR(LAND(Table2[[#This Row],[C]],Table2[[#This Row],[B]]),LAND(Table2[[#This Row],[A]],Table2[[#This Row],[B]])))</f>
        <v>True</v>
      </c>
      <c r="G20" s="4"/>
      <c r="H20" s="4"/>
      <c r="I20" s="4"/>
      <c r="J20" s="23"/>
    </row>
    <row r="21" spans="2:10" x14ac:dyDescent="0.2">
      <c r="B21" s="10" t="b">
        <v>1</v>
      </c>
      <c r="C21" s="2" t="b">
        <v>0</v>
      </c>
      <c r="D21" s="2" t="b">
        <v>0</v>
      </c>
      <c r="E21" s="7"/>
      <c r="F21" s="16" t="str" cm="1">
        <f t="array" ref="F21">LNOT(LOR(LAND(Table2[[#This Row],[C]],Table2[[#This Row],[B]]),LAND(Table2[[#This Row],[A]],Table2[[#This Row],[B]])))</f>
        <v>True</v>
      </c>
      <c r="G21" s="4"/>
      <c r="H21" s="4"/>
      <c r="I21" s="4"/>
      <c r="J21" s="23"/>
    </row>
    <row r="22" spans="2:10" x14ac:dyDescent="0.2">
      <c r="B22" s="10" t="b">
        <v>0</v>
      </c>
      <c r="C22" s="2" t="b">
        <v>1</v>
      </c>
      <c r="D22" s="2" t="b">
        <v>1</v>
      </c>
      <c r="E22" s="7"/>
      <c r="F22" s="16" t="str" cm="1">
        <f t="array" ref="F22">LNOT(LOR(LAND(Table2[[#This Row],[C]],Table2[[#This Row],[B]]),LAND(Table2[[#This Row],[A]],Table2[[#This Row],[B]])))</f>
        <v>False</v>
      </c>
      <c r="G22" s="4"/>
      <c r="H22" s="4"/>
      <c r="I22" s="4"/>
      <c r="J22" s="23"/>
    </row>
    <row r="23" spans="2:10" x14ac:dyDescent="0.2">
      <c r="B23" s="10" t="b">
        <v>0</v>
      </c>
      <c r="C23" s="2" t="b">
        <v>1</v>
      </c>
      <c r="D23" s="2" t="b">
        <v>0</v>
      </c>
      <c r="E23" s="7"/>
      <c r="F23" s="16" t="str" cm="1">
        <f t="array" ref="F23">LNOT(LOR(LAND(Table2[[#This Row],[C]],Table2[[#This Row],[B]]),LAND(Table2[[#This Row],[A]],Table2[[#This Row],[B]])))</f>
        <v>True</v>
      </c>
      <c r="G23" s="4"/>
      <c r="H23" s="4"/>
      <c r="I23" s="4"/>
      <c r="J23" s="23"/>
    </row>
    <row r="24" spans="2:10" x14ac:dyDescent="0.2">
      <c r="B24" s="10" t="b">
        <v>0</v>
      </c>
      <c r="C24" s="2" t="b">
        <v>0</v>
      </c>
      <c r="D24" s="2" t="b">
        <v>1</v>
      </c>
      <c r="E24" s="7"/>
      <c r="F24" s="16" t="str" cm="1">
        <f t="array" ref="F24">LNOT(LOR(LAND(Table2[[#This Row],[C]],Table2[[#This Row],[B]]),LAND(Table2[[#This Row],[A]],Table2[[#This Row],[B]])))</f>
        <v>True</v>
      </c>
      <c r="G24" s="4"/>
      <c r="H24" s="4"/>
      <c r="I24" s="4"/>
      <c r="J24" s="23"/>
    </row>
    <row r="25" spans="2:10" ht="17" thickBot="1" x14ac:dyDescent="0.25">
      <c r="B25" s="12" t="b">
        <v>0</v>
      </c>
      <c r="C25" s="13" t="b">
        <v>0</v>
      </c>
      <c r="D25" s="13" t="b">
        <v>0</v>
      </c>
      <c r="E25" s="24"/>
      <c r="F25" s="19" t="str" cm="1">
        <f t="array" ref="F25">LNOT(LOR(LAND(Table2[[#This Row],[C]],Table2[[#This Row],[B]]),LAND(Table2[[#This Row],[A]],Table2[[#This Row],[B]])))</f>
        <v>True</v>
      </c>
      <c r="G25" s="25"/>
      <c r="H25" s="25"/>
      <c r="I25" s="25"/>
      <c r="J25" s="26"/>
    </row>
  </sheetData>
  <sheetProtection sheet="1" objects="1" scenarios="1" selectLockedCells="1"/>
  <mergeCells count="6">
    <mergeCell ref="C15:J15"/>
    <mergeCell ref="B3:J3"/>
    <mergeCell ref="B4:J4"/>
    <mergeCell ref="B2:J2"/>
    <mergeCell ref="B5:J5"/>
    <mergeCell ref="B13:J13"/>
  </mergeCells>
  <conditionalFormatting sqref="E8:J11">
    <cfRule type="containsText" dxfId="33" priority="7" operator="containsText" text="True">
      <formula>NOT(ISERROR(SEARCH("True",E8)))</formula>
    </cfRule>
    <cfRule type="containsText" dxfId="32" priority="8" operator="containsText" text="False">
      <formula>NOT(ISERROR(SEARCH("False",E8)))</formula>
    </cfRule>
  </conditionalFormatting>
  <conditionalFormatting sqref="B8:C11">
    <cfRule type="containsText" dxfId="31" priority="5" operator="containsText" text="True">
      <formula>NOT(ISERROR(SEARCH("True",B8)))</formula>
    </cfRule>
    <cfRule type="containsText" dxfId="30" priority="6" operator="containsText" text="False">
      <formula>NOT(ISERROR(SEARCH("False",B8)))</formula>
    </cfRule>
  </conditionalFormatting>
  <conditionalFormatting sqref="B18:D25">
    <cfRule type="containsText" dxfId="29" priority="3" operator="containsText" text="True">
      <formula>NOT(ISERROR(SEARCH("True",B18)))</formula>
    </cfRule>
    <cfRule type="containsText" dxfId="28" priority="4" operator="containsText" text="False">
      <formula>NOT(ISERROR(SEARCH("False",B18)))</formula>
    </cfRule>
  </conditionalFormatting>
  <conditionalFormatting sqref="F18:F25">
    <cfRule type="containsText" dxfId="27" priority="1" operator="containsText" text="True">
      <formula>NOT(ISERROR(SEARCH("True",F18)))</formula>
    </cfRule>
    <cfRule type="containsText" dxfId="26" priority="2" operator="containsText" text="False">
      <formula>NOT(ISERROR(SEARCH("False",F18)))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FEE3-AC7A-274C-8409-EDAEDE9805FD}">
  <sheetPr codeName="Sheet2"/>
  <dimension ref="B1:Q34"/>
  <sheetViews>
    <sheetView zoomScale="84" zoomScaleNormal="90" workbookViewId="0">
      <selection activeCell="K3" sqref="K3"/>
    </sheetView>
  </sheetViews>
  <sheetFormatPr baseColWidth="10" defaultRowHeight="16" x14ac:dyDescent="0.2"/>
  <cols>
    <col min="1" max="1" width="2.83203125" style="6" customWidth="1"/>
    <col min="2" max="7" width="10.83203125" style="6"/>
    <col min="8" max="8" width="2.83203125" style="6" customWidth="1"/>
    <col min="9" max="15" width="20.83203125" style="6" customWidth="1"/>
    <col min="16" max="16" width="2.83203125" style="6" customWidth="1"/>
    <col min="17" max="17" width="16.6640625" style="6" customWidth="1"/>
    <col min="18" max="16384" width="10.83203125" style="6"/>
  </cols>
  <sheetData>
    <row r="1" spans="2:17" ht="17" thickBot="1" x14ac:dyDescent="0.25"/>
    <row r="2" spans="2:17" ht="17" thickBot="1" x14ac:dyDescent="0.25">
      <c r="B2" s="1" t="s">
        <v>30</v>
      </c>
      <c r="C2" s="21" t="s">
        <v>16</v>
      </c>
      <c r="D2" s="21" t="s">
        <v>17</v>
      </c>
      <c r="E2" s="21" t="s">
        <v>20</v>
      </c>
      <c r="F2" s="21" t="s">
        <v>32</v>
      </c>
      <c r="G2" s="21" t="s">
        <v>38</v>
      </c>
      <c r="H2" s="8" t="s">
        <v>33</v>
      </c>
      <c r="I2" s="21" t="s">
        <v>8</v>
      </c>
      <c r="J2" s="21" t="s">
        <v>9</v>
      </c>
      <c r="K2" s="21" t="s">
        <v>10</v>
      </c>
      <c r="L2" s="21" t="s">
        <v>11</v>
      </c>
      <c r="M2" s="21" t="s">
        <v>12</v>
      </c>
      <c r="N2" s="21" t="s">
        <v>13</v>
      </c>
      <c r="O2" s="21" t="s">
        <v>7</v>
      </c>
      <c r="P2" s="8" t="s">
        <v>34</v>
      </c>
      <c r="Q2" s="1" t="s">
        <v>14</v>
      </c>
    </row>
    <row r="3" spans="2:17" x14ac:dyDescent="0.2">
      <c r="B3" s="10">
        <f>IF('Helper (Ignore)'!E4&lt;'Helper (Ignore)'!$B$2+1,'Helper (Ignore)'!E4,"")</f>
        <v>1</v>
      </c>
      <c r="C3" s="2" t="str">
        <f>IF(COUNTIF(C$2,"&lt;&gt;*.*"),IF('Helper (Ignore)'!$E4&lt;'Helper (Ignore)'!$B$2+1,IF('Helper (Ignore)'!G4=1,"True","False"),""),"")</f>
        <v>True</v>
      </c>
      <c r="D3" s="2" t="str">
        <f>IF(COUNTIF(D$2,"&lt;&gt;*.*"),IF('Helper (Ignore)'!$E4&lt;'Helper (Ignore)'!$B$2+1,IF('Helper (Ignore)'!I4=1,"True","False"),""),"")</f>
        <v>True</v>
      </c>
      <c r="E3" s="2" t="str">
        <f>IF(COUNTIF(E$2,"&lt;&gt;*.*"),IF('Helper (Ignore)'!$E4&lt;'Helper (Ignore)'!$B$2+1,IF('Helper (Ignore)'!K4=1,"True","False"),""),"")</f>
        <v>True</v>
      </c>
      <c r="F3" s="2" t="str">
        <f>IF(COUNTIF(F$2,"&lt;&gt;*.*"),IF('Helper (Ignore)'!$E4&lt;'Helper (Ignore)'!$B$2+1,IF('Helper (Ignore)'!M4=1,"True","False"),""),"")</f>
        <v/>
      </c>
      <c r="G3" s="11" t="str">
        <f>IF(COUNTIF(G$2,"&lt;&gt;*.*"),IF('Helper (Ignore)'!$E4&lt;'Helper (Ignore)'!$B$2+1,IF('Helper (Ignore)'!O4=1,"True","False"),""),"")</f>
        <v/>
      </c>
      <c r="H3" s="8"/>
      <c r="I3" s="15" t="str" cm="1">
        <f t="array" ref="I3">LIF(TruthTable[[#This Row],[A]],TruthTable[[#This Row],[B]])</f>
        <v>True</v>
      </c>
      <c r="J3" s="16" t="str" cm="1">
        <f t="array" ref="J3">LIF(TruthTable[[#This Row],[C]],TruthTable[[#This Row],[B]])</f>
        <v>True</v>
      </c>
      <c r="K3" s="16"/>
      <c r="L3" s="16"/>
      <c r="M3" s="16"/>
      <c r="N3" s="16"/>
      <c r="O3" s="17" t="str" cm="1">
        <f t="array" ref="O3">LNOT(TruthTable[[#This Row],[A]])</f>
        <v>False</v>
      </c>
      <c r="P3" s="8"/>
      <c r="Q3" s="9" t="str">
        <f>IF('Helper (Ignore)'!E4&lt;'Helper (Ignore)'!$B$2+1,IF('Helper (Ignore)'!P4,IF('Helper (Ignore)'!Q4,"INVALID","VALID"),"VALID"),"")</f>
        <v>INVALID</v>
      </c>
    </row>
    <row r="4" spans="2:17" x14ac:dyDescent="0.2">
      <c r="B4" s="10">
        <f>IF('Helper (Ignore)'!E5&lt;'Helper (Ignore)'!$B$2+1,'Helper (Ignore)'!E5,"")</f>
        <v>2</v>
      </c>
      <c r="C4" s="2" t="str">
        <f>IF(COUNTIF(C$2,"&lt;&gt;*.*"),IF('Helper (Ignore)'!$E5&lt;'Helper (Ignore)'!$B$2+1,IF('Helper (Ignore)'!G5=1,"True","False"),""),"")</f>
        <v>True</v>
      </c>
      <c r="D4" s="2" t="str">
        <f>IF(COUNTIF(D$2,"&lt;&gt;*.*"),IF('Helper (Ignore)'!$E5&lt;'Helper (Ignore)'!$B$2+1,IF('Helper (Ignore)'!I5=1,"True","False"),""),"")</f>
        <v>True</v>
      </c>
      <c r="E4" s="2" t="str">
        <f>IF(COUNTIF(E$2,"&lt;&gt;*.*"),IF('Helper (Ignore)'!$E5&lt;'Helper (Ignore)'!$B$2+1,IF('Helper (Ignore)'!K5=1,"True","False"),""),"")</f>
        <v>False</v>
      </c>
      <c r="F4" s="2" t="str">
        <f>IF(COUNTIF(F$2,"&lt;&gt;*.*"),IF('Helper (Ignore)'!$E5&lt;'Helper (Ignore)'!$B$2+1,IF('Helper (Ignore)'!M5=1,"True","False"),""),"")</f>
        <v/>
      </c>
      <c r="G4" s="11" t="str">
        <f>IF(COUNTIF(G$2,"&lt;&gt;*.*"),IF('Helper (Ignore)'!$E5&lt;'Helper (Ignore)'!$B$2+1,IF('Helper (Ignore)'!O5=1,"True","False"),""),"")</f>
        <v/>
      </c>
      <c r="H4" s="8"/>
      <c r="I4" s="15" t="str" cm="1">
        <f t="array" ref="I4">LIF(TruthTable[[#This Row],[A]],TruthTable[[#This Row],[B]])</f>
        <v>True</v>
      </c>
      <c r="J4" s="16" t="str" cm="1">
        <f t="array" ref="J4">LIF(TruthTable[[#This Row],[C]],TruthTable[[#This Row],[B]])</f>
        <v>True</v>
      </c>
      <c r="K4" s="16"/>
      <c r="L4" s="16"/>
      <c r="M4" s="16"/>
      <c r="N4" s="16"/>
      <c r="O4" s="17" t="str" cm="1">
        <f t="array" ref="O4">LNOT(TruthTable[[#This Row],[A]])</f>
        <v>False</v>
      </c>
      <c r="P4" s="8"/>
      <c r="Q4" s="9" t="str">
        <f>IF('Helper (Ignore)'!E5&lt;'Helper (Ignore)'!$B$2+1,IF('Helper (Ignore)'!P5,IF('Helper (Ignore)'!Q5,"INVALID","VALID"),"VALID"),"")</f>
        <v>INVALID</v>
      </c>
    </row>
    <row r="5" spans="2:17" x14ac:dyDescent="0.2">
      <c r="B5" s="10">
        <f>IF('Helper (Ignore)'!E6&lt;'Helper (Ignore)'!$B$2+1,'Helper (Ignore)'!E6,"")</f>
        <v>3</v>
      </c>
      <c r="C5" s="2" t="str">
        <f>IF(COUNTIF(C$2,"&lt;&gt;*.*"),IF('Helper (Ignore)'!$E6&lt;'Helper (Ignore)'!$B$2+1,IF('Helper (Ignore)'!G6=1,"True","False"),""),"")</f>
        <v>True</v>
      </c>
      <c r="D5" s="2" t="str">
        <f>IF(COUNTIF(D$2,"&lt;&gt;*.*"),IF('Helper (Ignore)'!$E6&lt;'Helper (Ignore)'!$B$2+1,IF('Helper (Ignore)'!I6=1,"True","False"),""),"")</f>
        <v>False</v>
      </c>
      <c r="E5" s="2" t="str">
        <f>IF(COUNTIF(E$2,"&lt;&gt;*.*"),IF('Helper (Ignore)'!$E6&lt;'Helper (Ignore)'!$B$2+1,IF('Helper (Ignore)'!K6=1,"True","False"),""),"")</f>
        <v>True</v>
      </c>
      <c r="F5" s="2" t="str">
        <f>IF(COUNTIF(F$2,"&lt;&gt;*.*"),IF('Helper (Ignore)'!$E6&lt;'Helper (Ignore)'!$B$2+1,IF('Helper (Ignore)'!M6=1,"True","False"),""),"")</f>
        <v/>
      </c>
      <c r="G5" s="11" t="str">
        <f>IF(COUNTIF(G$2,"&lt;&gt;*.*"),IF('Helper (Ignore)'!$E6&lt;'Helper (Ignore)'!$B$2+1,IF('Helper (Ignore)'!O6=1,"True","False"),""),"")</f>
        <v/>
      </c>
      <c r="H5" s="8"/>
      <c r="I5" s="15" t="str" cm="1">
        <f t="array" ref="I5">LIF(TruthTable[[#This Row],[A]],TruthTable[[#This Row],[B]])</f>
        <v>False</v>
      </c>
      <c r="J5" s="16" t="str" cm="1">
        <f t="array" ref="J5">LIF(TruthTable[[#This Row],[C]],TruthTable[[#This Row],[B]])</f>
        <v>False</v>
      </c>
      <c r="K5" s="16"/>
      <c r="L5" s="16"/>
      <c r="M5" s="16"/>
      <c r="N5" s="16"/>
      <c r="O5" s="17" t="str" cm="1">
        <f t="array" ref="O5">LNOT(TruthTable[[#This Row],[A]])</f>
        <v>False</v>
      </c>
      <c r="P5" s="8"/>
      <c r="Q5" s="9" t="str">
        <f>IF('Helper (Ignore)'!E6&lt;'Helper (Ignore)'!$B$2+1,IF('Helper (Ignore)'!P6,IF('Helper (Ignore)'!Q6,"INVALID","VALID"),"VALID"),"")</f>
        <v>VALID</v>
      </c>
    </row>
    <row r="6" spans="2:17" x14ac:dyDescent="0.2">
      <c r="B6" s="10">
        <f>IF('Helper (Ignore)'!E7&lt;'Helper (Ignore)'!$B$2+1,'Helper (Ignore)'!E7,"")</f>
        <v>4</v>
      </c>
      <c r="C6" s="2" t="str">
        <f>IF(COUNTIF(C$2,"&lt;&gt;*.*"),IF('Helper (Ignore)'!$E7&lt;'Helper (Ignore)'!$B$2+1,IF('Helper (Ignore)'!G7=1,"True","False"),""),"")</f>
        <v>True</v>
      </c>
      <c r="D6" s="2" t="str">
        <f>IF(COUNTIF(D$2,"&lt;&gt;*.*"),IF('Helper (Ignore)'!$E7&lt;'Helper (Ignore)'!$B$2+1,IF('Helper (Ignore)'!I7=1,"True","False"),""),"")</f>
        <v>False</v>
      </c>
      <c r="E6" s="2" t="str">
        <f>IF(COUNTIF(E$2,"&lt;&gt;*.*"),IF('Helper (Ignore)'!$E7&lt;'Helper (Ignore)'!$B$2+1,IF('Helper (Ignore)'!K7=1,"True","False"),""),"")</f>
        <v>False</v>
      </c>
      <c r="F6" s="2" t="str">
        <f>IF(COUNTIF(F$2,"&lt;&gt;*.*"),IF('Helper (Ignore)'!$E7&lt;'Helper (Ignore)'!$B$2+1,IF('Helper (Ignore)'!M7=1,"True","False"),""),"")</f>
        <v/>
      </c>
      <c r="G6" s="11" t="str">
        <f>IF(COUNTIF(G$2,"&lt;&gt;*.*"),IF('Helper (Ignore)'!$E7&lt;'Helper (Ignore)'!$B$2+1,IF('Helper (Ignore)'!O7=1,"True","False"),""),"")</f>
        <v/>
      </c>
      <c r="H6" s="8"/>
      <c r="I6" s="15" t="str" cm="1">
        <f t="array" ref="I6">LIF(TruthTable[[#This Row],[A]],TruthTable[[#This Row],[B]])</f>
        <v>False</v>
      </c>
      <c r="J6" s="16" t="str" cm="1">
        <f t="array" ref="J6">LIF(TruthTable[[#This Row],[C]],TruthTable[[#This Row],[B]])</f>
        <v>True</v>
      </c>
      <c r="K6" s="16"/>
      <c r="L6" s="16"/>
      <c r="M6" s="16"/>
      <c r="N6" s="16"/>
      <c r="O6" s="17" t="str" cm="1">
        <f t="array" ref="O6">LNOT(TruthTable[[#This Row],[A]])</f>
        <v>False</v>
      </c>
      <c r="P6" s="8"/>
      <c r="Q6" s="9" t="str">
        <f>IF('Helper (Ignore)'!E7&lt;'Helper (Ignore)'!$B$2+1,IF('Helper (Ignore)'!P7,IF('Helper (Ignore)'!Q7,"INVALID","VALID"),"VALID"),"")</f>
        <v>VALID</v>
      </c>
    </row>
    <row r="7" spans="2:17" x14ac:dyDescent="0.2">
      <c r="B7" s="10">
        <f>IF('Helper (Ignore)'!E8&lt;'Helper (Ignore)'!$B$2+1,'Helper (Ignore)'!E8,"")</f>
        <v>5</v>
      </c>
      <c r="C7" s="2" t="str">
        <f>IF(COUNTIF(C$2,"&lt;&gt;*.*"),IF('Helper (Ignore)'!$E8&lt;'Helper (Ignore)'!$B$2+1,IF('Helper (Ignore)'!G8=1,"True","False"),""),"")</f>
        <v>False</v>
      </c>
      <c r="D7" s="2" t="str">
        <f>IF(COUNTIF(D$2,"&lt;&gt;*.*"),IF('Helper (Ignore)'!$E8&lt;'Helper (Ignore)'!$B$2+1,IF('Helper (Ignore)'!I8=1,"True","False"),""),"")</f>
        <v>True</v>
      </c>
      <c r="E7" s="2" t="str">
        <f>IF(COUNTIF(E$2,"&lt;&gt;*.*"),IF('Helper (Ignore)'!$E8&lt;'Helper (Ignore)'!$B$2+1,IF('Helper (Ignore)'!K8=1,"True","False"),""),"")</f>
        <v>True</v>
      </c>
      <c r="F7" s="2" t="str">
        <f>IF(COUNTIF(F$2,"&lt;&gt;*.*"),IF('Helper (Ignore)'!$E8&lt;'Helper (Ignore)'!$B$2+1,IF('Helper (Ignore)'!M8=1,"True","False"),""),"")</f>
        <v/>
      </c>
      <c r="G7" s="11" t="str">
        <f>IF(COUNTIF(G$2,"&lt;&gt;*.*"),IF('Helper (Ignore)'!$E8&lt;'Helper (Ignore)'!$B$2+1,IF('Helper (Ignore)'!O8=1,"True","False"),""),"")</f>
        <v/>
      </c>
      <c r="H7" s="8"/>
      <c r="I7" s="15" t="str" cm="1">
        <f t="array" ref="I7">LIF(TruthTable[[#This Row],[A]],TruthTable[[#This Row],[B]])</f>
        <v>True</v>
      </c>
      <c r="J7" s="16" t="str" cm="1">
        <f t="array" ref="J7">LIF(TruthTable[[#This Row],[C]],TruthTable[[#This Row],[B]])</f>
        <v>True</v>
      </c>
      <c r="K7" s="16"/>
      <c r="L7" s="16"/>
      <c r="M7" s="16"/>
      <c r="N7" s="16"/>
      <c r="O7" s="17" t="str" cm="1">
        <f t="array" ref="O7">LNOT(TruthTable[[#This Row],[A]])</f>
        <v>True</v>
      </c>
      <c r="P7" s="8"/>
      <c r="Q7" s="9" t="str">
        <f>IF('Helper (Ignore)'!E8&lt;'Helper (Ignore)'!$B$2+1,IF('Helper (Ignore)'!P8,IF('Helper (Ignore)'!Q8,"INVALID","VALID"),"VALID"),"")</f>
        <v>VALID</v>
      </c>
    </row>
    <row r="8" spans="2:17" x14ac:dyDescent="0.2">
      <c r="B8" s="10">
        <f>IF('Helper (Ignore)'!E9&lt;'Helper (Ignore)'!$B$2+1,'Helper (Ignore)'!E9,"")</f>
        <v>6</v>
      </c>
      <c r="C8" s="2" t="str">
        <f>IF(COUNTIF(C$2,"&lt;&gt;*.*"),IF('Helper (Ignore)'!$E9&lt;'Helper (Ignore)'!$B$2+1,IF('Helper (Ignore)'!G9=1,"True","False"),""),"")</f>
        <v>False</v>
      </c>
      <c r="D8" s="2" t="str">
        <f>IF(COUNTIF(D$2,"&lt;&gt;*.*"),IF('Helper (Ignore)'!$E9&lt;'Helper (Ignore)'!$B$2+1,IF('Helper (Ignore)'!I9=1,"True","False"),""),"")</f>
        <v>True</v>
      </c>
      <c r="E8" s="2" t="str">
        <f>IF(COUNTIF(E$2,"&lt;&gt;*.*"),IF('Helper (Ignore)'!$E9&lt;'Helper (Ignore)'!$B$2+1,IF('Helper (Ignore)'!K9=1,"True","False"),""),"")</f>
        <v>False</v>
      </c>
      <c r="F8" s="2" t="str">
        <f>IF(COUNTIF(F$2,"&lt;&gt;*.*"),IF('Helper (Ignore)'!$E9&lt;'Helper (Ignore)'!$B$2+1,IF('Helper (Ignore)'!M9=1,"True","False"),""),"")</f>
        <v/>
      </c>
      <c r="G8" s="11" t="str">
        <f>IF(COUNTIF(G$2,"&lt;&gt;*.*"),IF('Helper (Ignore)'!$E9&lt;'Helper (Ignore)'!$B$2+1,IF('Helper (Ignore)'!O9=1,"True","False"),""),"")</f>
        <v/>
      </c>
      <c r="H8" s="8"/>
      <c r="I8" s="15" t="str" cm="1">
        <f t="array" ref="I8">LIF(TruthTable[[#This Row],[A]],TruthTable[[#This Row],[B]])</f>
        <v>True</v>
      </c>
      <c r="J8" s="16" t="str" cm="1">
        <f t="array" ref="J8">LIF(TruthTable[[#This Row],[C]],TruthTable[[#This Row],[B]])</f>
        <v>True</v>
      </c>
      <c r="K8" s="16"/>
      <c r="L8" s="16"/>
      <c r="M8" s="16"/>
      <c r="N8" s="16"/>
      <c r="O8" s="17" t="str" cm="1">
        <f t="array" ref="O8">LNOT(TruthTable[[#This Row],[A]])</f>
        <v>True</v>
      </c>
      <c r="P8" s="8"/>
      <c r="Q8" s="9" t="str">
        <f>IF('Helper (Ignore)'!E9&lt;'Helper (Ignore)'!$B$2+1,IF('Helper (Ignore)'!P9,IF('Helper (Ignore)'!Q9,"INVALID","VALID"),"VALID"),"")</f>
        <v>VALID</v>
      </c>
    </row>
    <row r="9" spans="2:17" x14ac:dyDescent="0.2">
      <c r="B9" s="10">
        <f>IF('Helper (Ignore)'!E10&lt;'Helper (Ignore)'!$B$2+1,'Helper (Ignore)'!E10,"")</f>
        <v>7</v>
      </c>
      <c r="C9" s="2" t="str">
        <f>IF(COUNTIF(C$2,"&lt;&gt;*.*"),IF('Helper (Ignore)'!$E10&lt;'Helper (Ignore)'!$B$2+1,IF('Helper (Ignore)'!G10=1,"True","False"),""),"")</f>
        <v>False</v>
      </c>
      <c r="D9" s="2" t="str">
        <f>IF(COUNTIF(D$2,"&lt;&gt;*.*"),IF('Helper (Ignore)'!$E10&lt;'Helper (Ignore)'!$B$2+1,IF('Helper (Ignore)'!I10=1,"True","False"),""),"")</f>
        <v>False</v>
      </c>
      <c r="E9" s="2" t="str">
        <f>IF(COUNTIF(E$2,"&lt;&gt;*.*"),IF('Helper (Ignore)'!$E10&lt;'Helper (Ignore)'!$B$2+1,IF('Helper (Ignore)'!K10=1,"True","False"),""),"")</f>
        <v>True</v>
      </c>
      <c r="F9" s="2" t="str">
        <f>IF(COUNTIF(F$2,"&lt;&gt;*.*"),IF('Helper (Ignore)'!$E10&lt;'Helper (Ignore)'!$B$2+1,IF('Helper (Ignore)'!M10=1,"True","False"),""),"")</f>
        <v/>
      </c>
      <c r="G9" s="11" t="str">
        <f>IF(COUNTIF(G$2,"&lt;&gt;*.*"),IF('Helper (Ignore)'!$E10&lt;'Helper (Ignore)'!$B$2+1,IF('Helper (Ignore)'!O10=1,"True","False"),""),"")</f>
        <v/>
      </c>
      <c r="H9" s="8"/>
      <c r="I9" s="15" t="str" cm="1">
        <f t="array" ref="I9">LIF(TruthTable[[#This Row],[A]],TruthTable[[#This Row],[B]])</f>
        <v>True</v>
      </c>
      <c r="J9" s="16" t="str" cm="1">
        <f t="array" ref="J9">LIF(TruthTable[[#This Row],[C]],TruthTable[[#This Row],[B]])</f>
        <v>False</v>
      </c>
      <c r="K9" s="16"/>
      <c r="L9" s="16"/>
      <c r="M9" s="16"/>
      <c r="N9" s="16"/>
      <c r="O9" s="17" t="str" cm="1">
        <f t="array" ref="O9">LNOT(TruthTable[[#This Row],[A]])</f>
        <v>True</v>
      </c>
      <c r="P9" s="8"/>
      <c r="Q9" s="9" t="str">
        <f>IF('Helper (Ignore)'!E10&lt;'Helper (Ignore)'!$B$2+1,IF('Helper (Ignore)'!P10,IF('Helper (Ignore)'!Q10,"INVALID","VALID"),"VALID"),"")</f>
        <v>VALID</v>
      </c>
    </row>
    <row r="10" spans="2:17" x14ac:dyDescent="0.2">
      <c r="B10" s="10">
        <f>IF('Helper (Ignore)'!E11&lt;'Helper (Ignore)'!$B$2+1,'Helper (Ignore)'!E11,"")</f>
        <v>8</v>
      </c>
      <c r="C10" s="2" t="str">
        <f>IF(COUNTIF(C$2,"&lt;&gt;*.*"),IF('Helper (Ignore)'!$E11&lt;'Helper (Ignore)'!$B$2+1,IF('Helper (Ignore)'!G11=1,"True","False"),""),"")</f>
        <v>False</v>
      </c>
      <c r="D10" s="2" t="str">
        <f>IF(COUNTIF(D$2,"&lt;&gt;*.*"),IF('Helper (Ignore)'!$E11&lt;'Helper (Ignore)'!$B$2+1,IF('Helper (Ignore)'!I11=1,"True","False"),""),"")</f>
        <v>False</v>
      </c>
      <c r="E10" s="2" t="str">
        <f>IF(COUNTIF(E$2,"&lt;&gt;*.*"),IF('Helper (Ignore)'!$E11&lt;'Helper (Ignore)'!$B$2+1,IF('Helper (Ignore)'!K11=1,"True","False"),""),"")</f>
        <v>False</v>
      </c>
      <c r="F10" s="2" t="str">
        <f>IF(COUNTIF(F$2,"&lt;&gt;*.*"),IF('Helper (Ignore)'!$E11&lt;'Helper (Ignore)'!$B$2+1,IF('Helper (Ignore)'!M11=1,"True","False"),""),"")</f>
        <v/>
      </c>
      <c r="G10" s="11" t="str">
        <f>IF(COUNTIF(G$2,"&lt;&gt;*.*"),IF('Helper (Ignore)'!$E11&lt;'Helper (Ignore)'!$B$2+1,IF('Helper (Ignore)'!O11=1,"True","False"),""),"")</f>
        <v/>
      </c>
      <c r="H10" s="8"/>
      <c r="I10" s="15" t="str" cm="1">
        <f t="array" ref="I10">LIF(TruthTable[[#This Row],[A]],TruthTable[[#This Row],[B]])</f>
        <v>True</v>
      </c>
      <c r="J10" s="16" t="str" cm="1">
        <f t="array" ref="J10">LIF(TruthTable[[#This Row],[C]],TruthTable[[#This Row],[B]])</f>
        <v>True</v>
      </c>
      <c r="K10" s="16"/>
      <c r="L10" s="16"/>
      <c r="M10" s="16"/>
      <c r="N10" s="16"/>
      <c r="O10" s="17" t="str" cm="1">
        <f t="array" ref="O10">LNOT(TruthTable[[#This Row],[A]])</f>
        <v>True</v>
      </c>
      <c r="P10" s="8"/>
      <c r="Q10" s="9" t="str">
        <f>IF('Helper (Ignore)'!E11&lt;'Helper (Ignore)'!$B$2+1,IF('Helper (Ignore)'!P11,IF('Helper (Ignore)'!Q11,"INVALID","VALID"),"VALID"),"")</f>
        <v>VALID</v>
      </c>
    </row>
    <row r="11" spans="2:17" x14ac:dyDescent="0.2">
      <c r="B11" s="10" t="str">
        <f>IF('Helper (Ignore)'!E12&lt;'Helper (Ignore)'!$B$2+1,'Helper (Ignore)'!E12,"")</f>
        <v/>
      </c>
      <c r="C11" s="2" t="str">
        <f>IF(COUNTIF(C$2,"&lt;&gt;*.*"),IF('Helper (Ignore)'!$E12&lt;'Helper (Ignore)'!$B$2+1,IF('Helper (Ignore)'!G12=1,"True","False"),""),"")</f>
        <v/>
      </c>
      <c r="D11" s="2" t="str">
        <f>IF(COUNTIF(D$2,"&lt;&gt;*.*"),IF('Helper (Ignore)'!$E12&lt;'Helper (Ignore)'!$B$2+1,IF('Helper (Ignore)'!I12=1,"True","False"),""),"")</f>
        <v/>
      </c>
      <c r="E11" s="2" t="str">
        <f>IF(COUNTIF(E$2,"&lt;&gt;*.*"),IF('Helper (Ignore)'!$E12&lt;'Helper (Ignore)'!$B$2+1,IF('Helper (Ignore)'!K12=1,"True","False"),""),"")</f>
        <v/>
      </c>
      <c r="F11" s="2" t="str">
        <f>IF(COUNTIF(F$2,"&lt;&gt;*.*"),IF('Helper (Ignore)'!$E12&lt;'Helper (Ignore)'!$B$2+1,IF('Helper (Ignore)'!M12=1,"True","False"),""),"")</f>
        <v/>
      </c>
      <c r="G11" s="11" t="str">
        <f>IF(COUNTIF(G$2,"&lt;&gt;*.*"),IF('Helper (Ignore)'!$E12&lt;'Helper (Ignore)'!$B$2+1,IF('Helper (Ignore)'!O12=1,"True","False"),""),"")</f>
        <v/>
      </c>
      <c r="H11" s="8"/>
      <c r="I11" s="15"/>
      <c r="J11" s="16"/>
      <c r="K11" s="16"/>
      <c r="L11" s="16"/>
      <c r="M11" s="16"/>
      <c r="N11" s="16"/>
      <c r="O11" s="17"/>
      <c r="P11" s="8"/>
      <c r="Q11" s="9" t="str">
        <f>IF('Helper (Ignore)'!E12&lt;'Helper (Ignore)'!$B$2+1,IF('Helper (Ignore)'!P12,IF('Helper (Ignore)'!Q12,"INVALID","VALID"),"VALID"),"")</f>
        <v/>
      </c>
    </row>
    <row r="12" spans="2:17" x14ac:dyDescent="0.2">
      <c r="B12" s="10" t="str">
        <f>IF('Helper (Ignore)'!E13&lt;'Helper (Ignore)'!$B$2+1,'Helper (Ignore)'!E13,"")</f>
        <v/>
      </c>
      <c r="C12" s="2" t="str">
        <f>IF(COUNTIF(C$2,"&lt;&gt;*.*"),IF('Helper (Ignore)'!$E13&lt;'Helper (Ignore)'!$B$2+1,IF('Helper (Ignore)'!G13=1,"True","False"),""),"")</f>
        <v/>
      </c>
      <c r="D12" s="2" t="str">
        <f>IF(COUNTIF(D$2,"&lt;&gt;*.*"),IF('Helper (Ignore)'!$E13&lt;'Helper (Ignore)'!$B$2+1,IF('Helper (Ignore)'!I13=1,"True","False"),""),"")</f>
        <v/>
      </c>
      <c r="E12" s="2" t="str">
        <f>IF(COUNTIF(E$2,"&lt;&gt;*.*"),IF('Helper (Ignore)'!$E13&lt;'Helper (Ignore)'!$B$2+1,IF('Helper (Ignore)'!K13=1,"True","False"),""),"")</f>
        <v/>
      </c>
      <c r="F12" s="2" t="str">
        <f>IF(COUNTIF(F$2,"&lt;&gt;*.*"),IF('Helper (Ignore)'!$E13&lt;'Helper (Ignore)'!$B$2+1,IF('Helper (Ignore)'!M13=1,"True","False"),""),"")</f>
        <v/>
      </c>
      <c r="G12" s="11" t="str">
        <f>IF(COUNTIF(G$2,"&lt;&gt;*.*"),IF('Helper (Ignore)'!$E13&lt;'Helper (Ignore)'!$B$2+1,IF('Helper (Ignore)'!O13=1,"True","False"),""),"")</f>
        <v/>
      </c>
      <c r="H12" s="8"/>
      <c r="I12" s="15"/>
      <c r="J12" s="16"/>
      <c r="K12" s="16"/>
      <c r="L12" s="16"/>
      <c r="M12" s="16"/>
      <c r="N12" s="16"/>
      <c r="O12" s="17"/>
      <c r="P12" s="8"/>
      <c r="Q12" s="9" t="str">
        <f>IF('Helper (Ignore)'!E13&lt;'Helper (Ignore)'!$B$2+1,IF('Helper (Ignore)'!P13,IF('Helper (Ignore)'!Q13,"INVALID","VALID"),"VALID"),"")</f>
        <v/>
      </c>
    </row>
    <row r="13" spans="2:17" x14ac:dyDescent="0.2">
      <c r="B13" s="10" t="str">
        <f>IF('Helper (Ignore)'!E14&lt;'Helper (Ignore)'!$B$2+1,'Helper (Ignore)'!E14,"")</f>
        <v/>
      </c>
      <c r="C13" s="2" t="str">
        <f>IF(COUNTIF(C$2,"&lt;&gt;*.*"),IF('Helper (Ignore)'!$E14&lt;'Helper (Ignore)'!$B$2+1,IF('Helper (Ignore)'!G14=1,"True","False"),""),"")</f>
        <v/>
      </c>
      <c r="D13" s="2" t="str">
        <f>IF(COUNTIF(D$2,"&lt;&gt;*.*"),IF('Helper (Ignore)'!$E14&lt;'Helper (Ignore)'!$B$2+1,IF('Helper (Ignore)'!I14=1,"True","False"),""),"")</f>
        <v/>
      </c>
      <c r="E13" s="2" t="str">
        <f>IF(COUNTIF(E$2,"&lt;&gt;*.*"),IF('Helper (Ignore)'!$E14&lt;'Helper (Ignore)'!$B$2+1,IF('Helper (Ignore)'!K14=1,"True","False"),""),"")</f>
        <v/>
      </c>
      <c r="F13" s="2" t="str">
        <f>IF(COUNTIF(F$2,"&lt;&gt;*.*"),IF('Helper (Ignore)'!$E14&lt;'Helper (Ignore)'!$B$2+1,IF('Helper (Ignore)'!M14=1,"True","False"),""),"")</f>
        <v/>
      </c>
      <c r="G13" s="11" t="str">
        <f>IF(COUNTIF(G$2,"&lt;&gt;*.*"),IF('Helper (Ignore)'!$E14&lt;'Helper (Ignore)'!$B$2+1,IF('Helper (Ignore)'!O14=1,"True","False"),""),"")</f>
        <v/>
      </c>
      <c r="H13" s="8"/>
      <c r="I13" s="15"/>
      <c r="J13" s="16"/>
      <c r="K13" s="16"/>
      <c r="L13" s="16"/>
      <c r="M13" s="16"/>
      <c r="N13" s="16"/>
      <c r="O13" s="17"/>
      <c r="P13" s="8"/>
      <c r="Q13" s="9" t="str">
        <f>IF('Helper (Ignore)'!E14&lt;'Helper (Ignore)'!$B$2+1,IF('Helper (Ignore)'!P14,IF('Helper (Ignore)'!Q14,"INVALID","VALID"),"VALID"),"")</f>
        <v/>
      </c>
    </row>
    <row r="14" spans="2:17" x14ac:dyDescent="0.2">
      <c r="B14" s="10" t="str">
        <f>IF('Helper (Ignore)'!E15&lt;'Helper (Ignore)'!$B$2+1,'Helper (Ignore)'!E15,"")</f>
        <v/>
      </c>
      <c r="C14" s="2" t="str">
        <f>IF(COUNTIF(C$2,"&lt;&gt;*.*"),IF('Helper (Ignore)'!$E15&lt;'Helper (Ignore)'!$B$2+1,IF('Helper (Ignore)'!G15=1,"True","False"),""),"")</f>
        <v/>
      </c>
      <c r="D14" s="2" t="str">
        <f>IF(COUNTIF(D$2,"&lt;&gt;*.*"),IF('Helper (Ignore)'!$E15&lt;'Helper (Ignore)'!$B$2+1,IF('Helper (Ignore)'!I15=1,"True","False"),""),"")</f>
        <v/>
      </c>
      <c r="E14" s="2" t="str">
        <f>IF(COUNTIF(E$2,"&lt;&gt;*.*"),IF('Helper (Ignore)'!$E15&lt;'Helper (Ignore)'!$B$2+1,IF('Helper (Ignore)'!K15=1,"True","False"),""),"")</f>
        <v/>
      </c>
      <c r="F14" s="2" t="str">
        <f>IF(COUNTIF(F$2,"&lt;&gt;*.*"),IF('Helper (Ignore)'!$E15&lt;'Helper (Ignore)'!$B$2+1,IF('Helper (Ignore)'!M15=1,"True","False"),""),"")</f>
        <v/>
      </c>
      <c r="G14" s="11" t="str">
        <f>IF(COUNTIF(G$2,"&lt;&gt;*.*"),IF('Helper (Ignore)'!$E15&lt;'Helper (Ignore)'!$B$2+1,IF('Helper (Ignore)'!O15=1,"True","False"),""),"")</f>
        <v/>
      </c>
      <c r="H14" s="8"/>
      <c r="I14" s="15"/>
      <c r="J14" s="16"/>
      <c r="K14" s="16"/>
      <c r="L14" s="16"/>
      <c r="M14" s="16"/>
      <c r="N14" s="16"/>
      <c r="O14" s="17"/>
      <c r="P14" s="8"/>
      <c r="Q14" s="9" t="str">
        <f>IF('Helper (Ignore)'!E15&lt;'Helper (Ignore)'!$B$2+1,IF('Helper (Ignore)'!P15,IF('Helper (Ignore)'!Q15,"INVALID","VALID"),"VALID"),"")</f>
        <v/>
      </c>
    </row>
    <row r="15" spans="2:17" x14ac:dyDescent="0.2">
      <c r="B15" s="10" t="str">
        <f>IF('Helper (Ignore)'!E16&lt;'Helper (Ignore)'!$B$2+1,'Helper (Ignore)'!E16,"")</f>
        <v/>
      </c>
      <c r="C15" s="2" t="str">
        <f>IF(COUNTIF(C$2,"&lt;&gt;*.*"),IF('Helper (Ignore)'!$E16&lt;'Helper (Ignore)'!$B$2+1,IF('Helper (Ignore)'!G16=1,"True","False"),""),"")</f>
        <v/>
      </c>
      <c r="D15" s="2" t="str">
        <f>IF(COUNTIF(D$2,"&lt;&gt;*.*"),IF('Helper (Ignore)'!$E16&lt;'Helper (Ignore)'!$B$2+1,IF('Helper (Ignore)'!I16=1,"True","False"),""),"")</f>
        <v/>
      </c>
      <c r="E15" s="2" t="str">
        <f>IF(COUNTIF(E$2,"&lt;&gt;*.*"),IF('Helper (Ignore)'!$E16&lt;'Helper (Ignore)'!$B$2+1,IF('Helper (Ignore)'!K16=1,"True","False"),""),"")</f>
        <v/>
      </c>
      <c r="F15" s="2" t="str">
        <f>IF(COUNTIF(F$2,"&lt;&gt;*.*"),IF('Helper (Ignore)'!$E16&lt;'Helper (Ignore)'!$B$2+1,IF('Helper (Ignore)'!M16=1,"True","False"),""),"")</f>
        <v/>
      </c>
      <c r="G15" s="11" t="str">
        <f>IF(COUNTIF(G$2,"&lt;&gt;*.*"),IF('Helper (Ignore)'!$E16&lt;'Helper (Ignore)'!$B$2+1,IF('Helper (Ignore)'!O16=1,"True","False"),""),"")</f>
        <v/>
      </c>
      <c r="H15" s="8"/>
      <c r="I15" s="15"/>
      <c r="J15" s="16"/>
      <c r="K15" s="16"/>
      <c r="L15" s="16"/>
      <c r="M15" s="16"/>
      <c r="N15" s="16"/>
      <c r="O15" s="17"/>
      <c r="P15" s="8"/>
      <c r="Q15" s="9" t="str">
        <f>IF('Helper (Ignore)'!E16&lt;'Helper (Ignore)'!$B$2+1,IF('Helper (Ignore)'!P16,IF('Helper (Ignore)'!Q16,"INVALID","VALID"),"VALID"),"")</f>
        <v/>
      </c>
    </row>
    <row r="16" spans="2:17" x14ac:dyDescent="0.2">
      <c r="B16" s="10" t="str">
        <f>IF('Helper (Ignore)'!E17&lt;'Helper (Ignore)'!$B$2+1,'Helper (Ignore)'!E17,"")</f>
        <v/>
      </c>
      <c r="C16" s="2" t="str">
        <f>IF(COUNTIF(C$2,"&lt;&gt;*.*"),IF('Helper (Ignore)'!$E17&lt;'Helper (Ignore)'!$B$2+1,IF('Helper (Ignore)'!G17=1,"True","False"),""),"")</f>
        <v/>
      </c>
      <c r="D16" s="2" t="str">
        <f>IF(COUNTIF(D$2,"&lt;&gt;*.*"),IF('Helper (Ignore)'!$E17&lt;'Helper (Ignore)'!$B$2+1,IF('Helper (Ignore)'!I17=1,"True","False"),""),"")</f>
        <v/>
      </c>
      <c r="E16" s="2" t="str">
        <f>IF(COUNTIF(E$2,"&lt;&gt;*.*"),IF('Helper (Ignore)'!$E17&lt;'Helper (Ignore)'!$B$2+1,IF('Helper (Ignore)'!K17=1,"True","False"),""),"")</f>
        <v/>
      </c>
      <c r="F16" s="2" t="str">
        <f>IF(COUNTIF(F$2,"&lt;&gt;*.*"),IF('Helper (Ignore)'!$E17&lt;'Helper (Ignore)'!$B$2+1,IF('Helper (Ignore)'!M17=1,"True","False"),""),"")</f>
        <v/>
      </c>
      <c r="G16" s="11" t="str">
        <f>IF(COUNTIF(G$2,"&lt;&gt;*.*"),IF('Helper (Ignore)'!$E17&lt;'Helper (Ignore)'!$B$2+1,IF('Helper (Ignore)'!O17=1,"True","False"),""),"")</f>
        <v/>
      </c>
      <c r="H16" s="8"/>
      <c r="I16" s="15"/>
      <c r="J16" s="16"/>
      <c r="K16" s="16"/>
      <c r="L16" s="16"/>
      <c r="M16" s="16"/>
      <c r="N16" s="16"/>
      <c r="O16" s="17"/>
      <c r="P16" s="8"/>
      <c r="Q16" s="9" t="str">
        <f>IF('Helper (Ignore)'!E17&lt;'Helper (Ignore)'!$B$2+1,IF('Helper (Ignore)'!P17,IF('Helper (Ignore)'!Q17,"INVALID","VALID"),"VALID"),"")</f>
        <v/>
      </c>
    </row>
    <row r="17" spans="2:17" x14ac:dyDescent="0.2">
      <c r="B17" s="10" t="str">
        <f>IF('Helper (Ignore)'!E18&lt;'Helper (Ignore)'!$B$2+1,'Helper (Ignore)'!E18,"")</f>
        <v/>
      </c>
      <c r="C17" s="2" t="str">
        <f>IF(COUNTIF(C$2,"&lt;&gt;*.*"),IF('Helper (Ignore)'!$E18&lt;'Helper (Ignore)'!$B$2+1,IF('Helper (Ignore)'!G18=1,"True","False"),""),"")</f>
        <v/>
      </c>
      <c r="D17" s="2" t="str">
        <f>IF(COUNTIF(D$2,"&lt;&gt;*.*"),IF('Helper (Ignore)'!$E18&lt;'Helper (Ignore)'!$B$2+1,IF('Helper (Ignore)'!I18=1,"True","False"),""),"")</f>
        <v/>
      </c>
      <c r="E17" s="2" t="str">
        <f>IF(COUNTIF(E$2,"&lt;&gt;*.*"),IF('Helper (Ignore)'!$E18&lt;'Helper (Ignore)'!$B$2+1,IF('Helper (Ignore)'!K18=1,"True","False"),""),"")</f>
        <v/>
      </c>
      <c r="F17" s="2" t="str">
        <f>IF(COUNTIF(F$2,"&lt;&gt;*.*"),IF('Helper (Ignore)'!$E18&lt;'Helper (Ignore)'!$B$2+1,IF('Helper (Ignore)'!M18=1,"True","False"),""),"")</f>
        <v/>
      </c>
      <c r="G17" s="11" t="str">
        <f>IF(COUNTIF(G$2,"&lt;&gt;*.*"),IF('Helper (Ignore)'!$E18&lt;'Helper (Ignore)'!$B$2+1,IF('Helper (Ignore)'!O18=1,"True","False"),""),"")</f>
        <v/>
      </c>
      <c r="H17" s="8"/>
      <c r="I17" s="15"/>
      <c r="J17" s="16"/>
      <c r="K17" s="16"/>
      <c r="L17" s="16"/>
      <c r="M17" s="16"/>
      <c r="N17" s="16"/>
      <c r="O17" s="17"/>
      <c r="P17" s="8"/>
      <c r="Q17" s="9" t="str">
        <f>IF('Helper (Ignore)'!E18&lt;'Helper (Ignore)'!$B$2+1,IF('Helper (Ignore)'!P18,IF('Helper (Ignore)'!Q18,"INVALID","VALID"),"VALID"),"")</f>
        <v/>
      </c>
    </row>
    <row r="18" spans="2:17" x14ac:dyDescent="0.2">
      <c r="B18" s="10" t="str">
        <f>IF('Helper (Ignore)'!E19&lt;'Helper (Ignore)'!$B$2+1,'Helper (Ignore)'!E19,"")</f>
        <v/>
      </c>
      <c r="C18" s="2" t="str">
        <f>IF(COUNTIF(C$2,"&lt;&gt;*.*"),IF('Helper (Ignore)'!$E19&lt;'Helper (Ignore)'!$B$2+1,IF('Helper (Ignore)'!G19=1,"True","False"),""),"")</f>
        <v/>
      </c>
      <c r="D18" s="2" t="str">
        <f>IF(COUNTIF(D$2,"&lt;&gt;*.*"),IF('Helper (Ignore)'!$E19&lt;'Helper (Ignore)'!$B$2+1,IF('Helper (Ignore)'!I19=1,"True","False"),""),"")</f>
        <v/>
      </c>
      <c r="E18" s="2" t="str">
        <f>IF(COUNTIF(E$2,"&lt;&gt;*.*"),IF('Helper (Ignore)'!$E19&lt;'Helper (Ignore)'!$B$2+1,IF('Helper (Ignore)'!K19=1,"True","False"),""),"")</f>
        <v/>
      </c>
      <c r="F18" s="2" t="str">
        <f>IF(COUNTIF(F$2,"&lt;&gt;*.*"),IF('Helper (Ignore)'!$E19&lt;'Helper (Ignore)'!$B$2+1,IF('Helper (Ignore)'!M19=1,"True","False"),""),"")</f>
        <v/>
      </c>
      <c r="G18" s="11" t="str">
        <f>IF(COUNTIF(G$2,"&lt;&gt;*.*"),IF('Helper (Ignore)'!$E19&lt;'Helper (Ignore)'!$B$2+1,IF('Helper (Ignore)'!O19=1,"True","False"),""),"")</f>
        <v/>
      </c>
      <c r="H18" s="8"/>
      <c r="I18" s="15"/>
      <c r="J18" s="16"/>
      <c r="K18" s="16"/>
      <c r="L18" s="16"/>
      <c r="M18" s="16"/>
      <c r="N18" s="16"/>
      <c r="O18" s="17"/>
      <c r="P18" s="8"/>
      <c r="Q18" s="9" t="str">
        <f>IF('Helper (Ignore)'!E19&lt;'Helper (Ignore)'!$B$2+1,IF('Helper (Ignore)'!P19,IF('Helper (Ignore)'!Q19,"INVALID","VALID"),"VALID"),"")</f>
        <v/>
      </c>
    </row>
    <row r="19" spans="2:17" x14ac:dyDescent="0.2">
      <c r="B19" s="10" t="str">
        <f>IF('Helper (Ignore)'!E20&lt;'Helper (Ignore)'!$B$2+1,'Helper (Ignore)'!E20,"")</f>
        <v/>
      </c>
      <c r="C19" s="2" t="str">
        <f>IF(COUNTIF(C$2,"&lt;&gt;*.*"),IF('Helper (Ignore)'!$E20&lt;'Helper (Ignore)'!$B$2+1,IF('Helper (Ignore)'!G20=1,"True","False"),""),"")</f>
        <v/>
      </c>
      <c r="D19" s="2" t="str">
        <f>IF(COUNTIF(D$2,"&lt;&gt;*.*"),IF('Helper (Ignore)'!$E20&lt;'Helper (Ignore)'!$B$2+1,IF('Helper (Ignore)'!I20=1,"True","False"),""),"")</f>
        <v/>
      </c>
      <c r="E19" s="2" t="str">
        <f>IF(COUNTIF(E$2,"&lt;&gt;*.*"),IF('Helper (Ignore)'!$E20&lt;'Helper (Ignore)'!$B$2+1,IF('Helper (Ignore)'!K20=1,"True","False"),""),"")</f>
        <v/>
      </c>
      <c r="F19" s="2" t="str">
        <f>IF(COUNTIF(F$2,"&lt;&gt;*.*"),IF('Helper (Ignore)'!$E20&lt;'Helper (Ignore)'!$B$2+1,IF('Helper (Ignore)'!M20=1,"True","False"),""),"")</f>
        <v/>
      </c>
      <c r="G19" s="11" t="str">
        <f>IF(COUNTIF(G$2,"&lt;&gt;*.*"),IF('Helper (Ignore)'!$E20&lt;'Helper (Ignore)'!$B$2+1,IF('Helper (Ignore)'!O20=1,"True","False"),""),"")</f>
        <v/>
      </c>
      <c r="H19" s="8"/>
      <c r="I19" s="15"/>
      <c r="J19" s="16"/>
      <c r="K19" s="16"/>
      <c r="L19" s="16"/>
      <c r="M19" s="16"/>
      <c r="N19" s="16"/>
      <c r="O19" s="17"/>
      <c r="P19" s="8"/>
      <c r="Q19" s="9" t="str">
        <f>IF('Helper (Ignore)'!E20&lt;'Helper (Ignore)'!$B$2+1,IF('Helper (Ignore)'!P20,IF('Helper (Ignore)'!Q20,"INVALID","VALID"),"VALID"),"")</f>
        <v/>
      </c>
    </row>
    <row r="20" spans="2:17" x14ac:dyDescent="0.2">
      <c r="B20" s="10" t="str">
        <f>IF('Helper (Ignore)'!E21&lt;'Helper (Ignore)'!$B$2+1,'Helper (Ignore)'!E21,"")</f>
        <v/>
      </c>
      <c r="C20" s="2" t="str">
        <f>IF(COUNTIF(C$2,"&lt;&gt;*.*"),IF('Helper (Ignore)'!$E21&lt;'Helper (Ignore)'!$B$2+1,IF('Helper (Ignore)'!G21=1,"True","False"),""),"")</f>
        <v/>
      </c>
      <c r="D20" s="2" t="str">
        <f>IF(COUNTIF(D$2,"&lt;&gt;*.*"),IF('Helper (Ignore)'!$E21&lt;'Helper (Ignore)'!$B$2+1,IF('Helper (Ignore)'!I21=1,"True","False"),""),"")</f>
        <v/>
      </c>
      <c r="E20" s="2" t="str">
        <f>IF(COUNTIF(E$2,"&lt;&gt;*.*"),IF('Helper (Ignore)'!$E21&lt;'Helper (Ignore)'!$B$2+1,IF('Helper (Ignore)'!K21=1,"True","False"),""),"")</f>
        <v/>
      </c>
      <c r="F20" s="2" t="str">
        <f>IF(COUNTIF(F$2,"&lt;&gt;*.*"),IF('Helper (Ignore)'!$E21&lt;'Helper (Ignore)'!$B$2+1,IF('Helper (Ignore)'!M21=1,"True","False"),""),"")</f>
        <v/>
      </c>
      <c r="G20" s="11" t="str">
        <f>IF(COUNTIF(G$2,"&lt;&gt;*.*"),IF('Helper (Ignore)'!$E21&lt;'Helper (Ignore)'!$B$2+1,IF('Helper (Ignore)'!O21=1,"True","False"),""),"")</f>
        <v/>
      </c>
      <c r="H20" s="8"/>
      <c r="I20" s="15"/>
      <c r="J20" s="16"/>
      <c r="K20" s="16"/>
      <c r="L20" s="16"/>
      <c r="M20" s="16"/>
      <c r="N20" s="16"/>
      <c r="O20" s="17"/>
      <c r="P20" s="8"/>
      <c r="Q20" s="9" t="str">
        <f>IF('Helper (Ignore)'!E21&lt;'Helper (Ignore)'!$B$2+1,IF('Helper (Ignore)'!P21,IF('Helper (Ignore)'!Q21,"INVALID","VALID"),"VALID"),"")</f>
        <v/>
      </c>
    </row>
    <row r="21" spans="2:17" x14ac:dyDescent="0.2">
      <c r="B21" s="10" t="str">
        <f>IF('Helper (Ignore)'!E22&lt;'Helper (Ignore)'!$B$2+1,'Helper (Ignore)'!E22,"")</f>
        <v/>
      </c>
      <c r="C21" s="2" t="str">
        <f>IF(COUNTIF(C$2,"&lt;&gt;*.*"),IF('Helper (Ignore)'!$E22&lt;'Helper (Ignore)'!$B$2+1,IF('Helper (Ignore)'!G22=1,"True","False"),""),"")</f>
        <v/>
      </c>
      <c r="D21" s="2" t="str">
        <f>IF(COUNTIF(D$2,"&lt;&gt;*.*"),IF('Helper (Ignore)'!$E22&lt;'Helper (Ignore)'!$B$2+1,IF('Helper (Ignore)'!I22=1,"True","False"),""),"")</f>
        <v/>
      </c>
      <c r="E21" s="2" t="str">
        <f>IF(COUNTIF(E$2,"&lt;&gt;*.*"),IF('Helper (Ignore)'!$E22&lt;'Helper (Ignore)'!$B$2+1,IF('Helper (Ignore)'!K22=1,"True","False"),""),"")</f>
        <v/>
      </c>
      <c r="F21" s="2" t="str">
        <f>IF(COUNTIF(F$2,"&lt;&gt;*.*"),IF('Helper (Ignore)'!$E22&lt;'Helper (Ignore)'!$B$2+1,IF('Helper (Ignore)'!M22=1,"True","False"),""),"")</f>
        <v/>
      </c>
      <c r="G21" s="11" t="str">
        <f>IF(COUNTIF(G$2,"&lt;&gt;*.*"),IF('Helper (Ignore)'!$E22&lt;'Helper (Ignore)'!$B$2+1,IF('Helper (Ignore)'!O22=1,"True","False"),""),"")</f>
        <v/>
      </c>
      <c r="H21" s="8"/>
      <c r="I21" s="15"/>
      <c r="J21" s="16"/>
      <c r="K21" s="16"/>
      <c r="L21" s="16"/>
      <c r="M21" s="16"/>
      <c r="N21" s="16"/>
      <c r="O21" s="17"/>
      <c r="P21" s="8"/>
      <c r="Q21" s="9" t="str">
        <f>IF('Helper (Ignore)'!E22&lt;'Helper (Ignore)'!$B$2+1,IF('Helper (Ignore)'!P22,IF('Helper (Ignore)'!Q22,"INVALID","VALID"),"VALID"),"")</f>
        <v/>
      </c>
    </row>
    <row r="22" spans="2:17" x14ac:dyDescent="0.2">
      <c r="B22" s="10" t="str">
        <f>IF('Helper (Ignore)'!E23&lt;'Helper (Ignore)'!$B$2+1,'Helper (Ignore)'!E23,"")</f>
        <v/>
      </c>
      <c r="C22" s="2" t="str">
        <f>IF(COUNTIF(C$2,"&lt;&gt;*.*"),IF('Helper (Ignore)'!$E23&lt;'Helper (Ignore)'!$B$2+1,IF('Helper (Ignore)'!G23=1,"True","False"),""),"")</f>
        <v/>
      </c>
      <c r="D22" s="2" t="str">
        <f>IF(COUNTIF(D$2,"&lt;&gt;*.*"),IF('Helper (Ignore)'!$E23&lt;'Helper (Ignore)'!$B$2+1,IF('Helper (Ignore)'!I23=1,"True","False"),""),"")</f>
        <v/>
      </c>
      <c r="E22" s="2" t="str">
        <f>IF(COUNTIF(E$2,"&lt;&gt;*.*"),IF('Helper (Ignore)'!$E23&lt;'Helper (Ignore)'!$B$2+1,IF('Helper (Ignore)'!K23=1,"True","False"),""),"")</f>
        <v/>
      </c>
      <c r="F22" s="2" t="str">
        <f>IF(COUNTIF(F$2,"&lt;&gt;*.*"),IF('Helper (Ignore)'!$E23&lt;'Helper (Ignore)'!$B$2+1,IF('Helper (Ignore)'!M23=1,"True","False"),""),"")</f>
        <v/>
      </c>
      <c r="G22" s="11" t="str">
        <f>IF(COUNTIF(G$2,"&lt;&gt;*.*"),IF('Helper (Ignore)'!$E23&lt;'Helper (Ignore)'!$B$2+1,IF('Helper (Ignore)'!O23=1,"True","False"),""),"")</f>
        <v/>
      </c>
      <c r="H22" s="8"/>
      <c r="I22" s="15"/>
      <c r="J22" s="16"/>
      <c r="K22" s="16"/>
      <c r="L22" s="16"/>
      <c r="M22" s="16"/>
      <c r="N22" s="16"/>
      <c r="O22" s="17"/>
      <c r="P22" s="8"/>
      <c r="Q22" s="9" t="str">
        <f>IF('Helper (Ignore)'!E23&lt;'Helper (Ignore)'!$B$2+1,IF('Helper (Ignore)'!P23,IF('Helper (Ignore)'!Q23,"INVALID","VALID"),"VALID"),"")</f>
        <v/>
      </c>
    </row>
    <row r="23" spans="2:17" x14ac:dyDescent="0.2">
      <c r="B23" s="10" t="str">
        <f>IF('Helper (Ignore)'!E24&lt;'Helper (Ignore)'!$B$2+1,'Helper (Ignore)'!E24,"")</f>
        <v/>
      </c>
      <c r="C23" s="2" t="str">
        <f>IF(COUNTIF(C$2,"&lt;&gt;*.*"),IF('Helper (Ignore)'!$E24&lt;'Helper (Ignore)'!$B$2+1,IF('Helper (Ignore)'!G24=1,"True","False"),""),"")</f>
        <v/>
      </c>
      <c r="D23" s="2" t="str">
        <f>IF(COUNTIF(D$2,"&lt;&gt;*.*"),IF('Helper (Ignore)'!$E24&lt;'Helper (Ignore)'!$B$2+1,IF('Helper (Ignore)'!I24=1,"True","False"),""),"")</f>
        <v/>
      </c>
      <c r="E23" s="2" t="str">
        <f>IF(COUNTIF(E$2,"&lt;&gt;*.*"),IF('Helper (Ignore)'!$E24&lt;'Helper (Ignore)'!$B$2+1,IF('Helper (Ignore)'!K24=1,"True","False"),""),"")</f>
        <v/>
      </c>
      <c r="F23" s="2" t="str">
        <f>IF(COUNTIF(F$2,"&lt;&gt;*.*"),IF('Helper (Ignore)'!$E24&lt;'Helper (Ignore)'!$B$2+1,IF('Helper (Ignore)'!M24=1,"True","False"),""),"")</f>
        <v/>
      </c>
      <c r="G23" s="11" t="str">
        <f>IF(COUNTIF(G$2,"&lt;&gt;*.*"),IF('Helper (Ignore)'!$E24&lt;'Helper (Ignore)'!$B$2+1,IF('Helper (Ignore)'!O24=1,"True","False"),""),"")</f>
        <v/>
      </c>
      <c r="H23" s="8"/>
      <c r="I23" s="15"/>
      <c r="J23" s="16"/>
      <c r="K23" s="16"/>
      <c r="L23" s="16"/>
      <c r="M23" s="16"/>
      <c r="N23" s="16"/>
      <c r="O23" s="17"/>
      <c r="P23" s="8"/>
      <c r="Q23" s="9" t="str">
        <f>IF('Helper (Ignore)'!E24&lt;'Helper (Ignore)'!$B$2+1,IF('Helper (Ignore)'!P24,IF('Helper (Ignore)'!Q24,"INVALID","VALID"),"VALID"),"")</f>
        <v/>
      </c>
    </row>
    <row r="24" spans="2:17" x14ac:dyDescent="0.2">
      <c r="B24" s="10" t="str">
        <f>IF('Helper (Ignore)'!E25&lt;'Helper (Ignore)'!$B$2+1,'Helper (Ignore)'!E25,"")</f>
        <v/>
      </c>
      <c r="C24" s="2" t="str">
        <f>IF(COUNTIF(C$2,"&lt;&gt;*.*"),IF('Helper (Ignore)'!$E25&lt;'Helper (Ignore)'!$B$2+1,IF('Helper (Ignore)'!G25=1,"True","False"),""),"")</f>
        <v/>
      </c>
      <c r="D24" s="2" t="str">
        <f>IF(COUNTIF(D$2,"&lt;&gt;*.*"),IF('Helper (Ignore)'!$E25&lt;'Helper (Ignore)'!$B$2+1,IF('Helper (Ignore)'!I25=1,"True","False"),""),"")</f>
        <v/>
      </c>
      <c r="E24" s="2" t="str">
        <f>IF(COUNTIF(E$2,"&lt;&gt;*.*"),IF('Helper (Ignore)'!$E25&lt;'Helper (Ignore)'!$B$2+1,IF('Helper (Ignore)'!K25=1,"True","False"),""),"")</f>
        <v/>
      </c>
      <c r="F24" s="2" t="str">
        <f>IF(COUNTIF(F$2,"&lt;&gt;*.*"),IF('Helper (Ignore)'!$E25&lt;'Helper (Ignore)'!$B$2+1,IF('Helper (Ignore)'!M25=1,"True","False"),""),"")</f>
        <v/>
      </c>
      <c r="G24" s="11" t="str">
        <f>IF(COUNTIF(G$2,"&lt;&gt;*.*"),IF('Helper (Ignore)'!$E25&lt;'Helper (Ignore)'!$B$2+1,IF('Helper (Ignore)'!O25=1,"True","False"),""),"")</f>
        <v/>
      </c>
      <c r="H24" s="8"/>
      <c r="I24" s="15"/>
      <c r="J24" s="16"/>
      <c r="K24" s="16"/>
      <c r="L24" s="16"/>
      <c r="M24" s="16"/>
      <c r="N24" s="16"/>
      <c r="O24" s="17"/>
      <c r="P24" s="8"/>
      <c r="Q24" s="9" t="str">
        <f>IF('Helper (Ignore)'!E25&lt;'Helper (Ignore)'!$B$2+1,IF('Helper (Ignore)'!P25,IF('Helper (Ignore)'!Q25,"INVALID","VALID"),"VALID"),"")</f>
        <v/>
      </c>
    </row>
    <row r="25" spans="2:17" x14ac:dyDescent="0.2">
      <c r="B25" s="10" t="str">
        <f>IF('Helper (Ignore)'!E26&lt;'Helper (Ignore)'!$B$2+1,'Helper (Ignore)'!E26,"")</f>
        <v/>
      </c>
      <c r="C25" s="2" t="str">
        <f>IF(COUNTIF(C$2,"&lt;&gt;*.*"),IF('Helper (Ignore)'!$E26&lt;'Helper (Ignore)'!$B$2+1,IF('Helper (Ignore)'!G26=1,"True","False"),""),"")</f>
        <v/>
      </c>
      <c r="D25" s="2" t="str">
        <f>IF(COUNTIF(D$2,"&lt;&gt;*.*"),IF('Helper (Ignore)'!$E26&lt;'Helper (Ignore)'!$B$2+1,IF('Helper (Ignore)'!I26=1,"True","False"),""),"")</f>
        <v/>
      </c>
      <c r="E25" s="2" t="str">
        <f>IF(COUNTIF(E$2,"&lt;&gt;*.*"),IF('Helper (Ignore)'!$E26&lt;'Helper (Ignore)'!$B$2+1,IF('Helper (Ignore)'!K26=1,"True","False"),""),"")</f>
        <v/>
      </c>
      <c r="F25" s="2" t="str">
        <f>IF(COUNTIF(F$2,"&lt;&gt;*.*"),IF('Helper (Ignore)'!$E26&lt;'Helper (Ignore)'!$B$2+1,IF('Helper (Ignore)'!M26=1,"True","False"),""),"")</f>
        <v/>
      </c>
      <c r="G25" s="11" t="str">
        <f>IF(COUNTIF(G$2,"&lt;&gt;*.*"),IF('Helper (Ignore)'!$E26&lt;'Helper (Ignore)'!$B$2+1,IF('Helper (Ignore)'!O26=1,"True","False"),""),"")</f>
        <v/>
      </c>
      <c r="H25" s="8"/>
      <c r="I25" s="15"/>
      <c r="J25" s="16"/>
      <c r="K25" s="16"/>
      <c r="L25" s="16"/>
      <c r="M25" s="16"/>
      <c r="N25" s="16"/>
      <c r="O25" s="17"/>
      <c r="P25" s="8"/>
      <c r="Q25" s="9" t="str">
        <f>IF('Helper (Ignore)'!E26&lt;'Helper (Ignore)'!$B$2+1,IF('Helper (Ignore)'!P26,IF('Helper (Ignore)'!Q26,"INVALID","VALID"),"VALID"),"")</f>
        <v/>
      </c>
    </row>
    <row r="26" spans="2:17" x14ac:dyDescent="0.2">
      <c r="B26" s="10" t="str">
        <f>IF('Helper (Ignore)'!E27&lt;'Helper (Ignore)'!$B$2+1,'Helper (Ignore)'!E27,"")</f>
        <v/>
      </c>
      <c r="C26" s="2" t="str">
        <f>IF(COUNTIF(C$2,"&lt;&gt;*.*"),IF('Helper (Ignore)'!$E27&lt;'Helper (Ignore)'!$B$2+1,IF('Helper (Ignore)'!G27=1,"True","False"),""),"")</f>
        <v/>
      </c>
      <c r="D26" s="2" t="str">
        <f>IF(COUNTIF(D$2,"&lt;&gt;*.*"),IF('Helper (Ignore)'!$E27&lt;'Helper (Ignore)'!$B$2+1,IF('Helper (Ignore)'!I27=1,"True","False"),""),"")</f>
        <v/>
      </c>
      <c r="E26" s="2" t="str">
        <f>IF(COUNTIF(E$2,"&lt;&gt;*.*"),IF('Helper (Ignore)'!$E27&lt;'Helper (Ignore)'!$B$2+1,IF('Helper (Ignore)'!K27=1,"True","False"),""),"")</f>
        <v/>
      </c>
      <c r="F26" s="2" t="str">
        <f>IF(COUNTIF(F$2,"&lt;&gt;*.*"),IF('Helper (Ignore)'!$E27&lt;'Helper (Ignore)'!$B$2+1,IF('Helper (Ignore)'!M27=1,"True","False"),""),"")</f>
        <v/>
      </c>
      <c r="G26" s="11" t="str">
        <f>IF(COUNTIF(G$2,"&lt;&gt;*.*"),IF('Helper (Ignore)'!$E27&lt;'Helper (Ignore)'!$B$2+1,IF('Helper (Ignore)'!O27=1,"True","False"),""),"")</f>
        <v/>
      </c>
      <c r="H26" s="8"/>
      <c r="I26" s="15"/>
      <c r="J26" s="16"/>
      <c r="K26" s="16"/>
      <c r="L26" s="16"/>
      <c r="M26" s="16"/>
      <c r="N26" s="16"/>
      <c r="O26" s="17"/>
      <c r="P26" s="8"/>
      <c r="Q26" s="9" t="str">
        <f>IF('Helper (Ignore)'!E27&lt;'Helper (Ignore)'!$B$2+1,IF('Helper (Ignore)'!P27,IF('Helper (Ignore)'!Q27,"INVALID","VALID"),"VALID"),"")</f>
        <v/>
      </c>
    </row>
    <row r="27" spans="2:17" x14ac:dyDescent="0.2">
      <c r="B27" s="10" t="str">
        <f>IF('Helper (Ignore)'!E28&lt;'Helper (Ignore)'!$B$2+1,'Helper (Ignore)'!E28,"")</f>
        <v/>
      </c>
      <c r="C27" s="2" t="str">
        <f>IF(COUNTIF(C$2,"&lt;&gt;*.*"),IF('Helper (Ignore)'!$E28&lt;'Helper (Ignore)'!$B$2+1,IF('Helper (Ignore)'!G28=1,"True","False"),""),"")</f>
        <v/>
      </c>
      <c r="D27" s="2" t="str">
        <f>IF(COUNTIF(D$2,"&lt;&gt;*.*"),IF('Helper (Ignore)'!$E28&lt;'Helper (Ignore)'!$B$2+1,IF('Helper (Ignore)'!I28=1,"True","False"),""),"")</f>
        <v/>
      </c>
      <c r="E27" s="2" t="str">
        <f>IF(COUNTIF(E$2,"&lt;&gt;*.*"),IF('Helper (Ignore)'!$E28&lt;'Helper (Ignore)'!$B$2+1,IF('Helper (Ignore)'!K28=1,"True","False"),""),"")</f>
        <v/>
      </c>
      <c r="F27" s="2" t="str">
        <f>IF(COUNTIF(F$2,"&lt;&gt;*.*"),IF('Helper (Ignore)'!$E28&lt;'Helper (Ignore)'!$B$2+1,IF('Helper (Ignore)'!M28=1,"True","False"),""),"")</f>
        <v/>
      </c>
      <c r="G27" s="11" t="str">
        <f>IF(COUNTIF(G$2,"&lt;&gt;*.*"),IF('Helper (Ignore)'!$E28&lt;'Helper (Ignore)'!$B$2+1,IF('Helper (Ignore)'!O28=1,"True","False"),""),"")</f>
        <v/>
      </c>
      <c r="H27" s="8"/>
      <c r="I27" s="15"/>
      <c r="J27" s="16"/>
      <c r="K27" s="16"/>
      <c r="L27" s="16"/>
      <c r="M27" s="16"/>
      <c r="N27" s="16"/>
      <c r="O27" s="17"/>
      <c r="P27" s="8"/>
      <c r="Q27" s="9" t="str">
        <f>IF('Helper (Ignore)'!E28&lt;'Helper (Ignore)'!$B$2+1,IF('Helper (Ignore)'!P28,IF('Helper (Ignore)'!Q28,"INVALID","VALID"),"VALID"),"")</f>
        <v/>
      </c>
    </row>
    <row r="28" spans="2:17" x14ac:dyDescent="0.2">
      <c r="B28" s="10" t="str">
        <f>IF('Helper (Ignore)'!E29&lt;'Helper (Ignore)'!$B$2+1,'Helper (Ignore)'!E29,"")</f>
        <v/>
      </c>
      <c r="C28" s="2" t="str">
        <f>IF(COUNTIF(C$2,"&lt;&gt;*.*"),IF('Helper (Ignore)'!$E29&lt;'Helper (Ignore)'!$B$2+1,IF('Helper (Ignore)'!G29=1,"True","False"),""),"")</f>
        <v/>
      </c>
      <c r="D28" s="2" t="str">
        <f>IF(COUNTIF(D$2,"&lt;&gt;*.*"),IF('Helper (Ignore)'!$E29&lt;'Helper (Ignore)'!$B$2+1,IF('Helper (Ignore)'!I29=1,"True","False"),""),"")</f>
        <v/>
      </c>
      <c r="E28" s="2" t="str">
        <f>IF(COUNTIF(E$2,"&lt;&gt;*.*"),IF('Helper (Ignore)'!$E29&lt;'Helper (Ignore)'!$B$2+1,IF('Helper (Ignore)'!K29=1,"True","False"),""),"")</f>
        <v/>
      </c>
      <c r="F28" s="2" t="str">
        <f>IF(COUNTIF(F$2,"&lt;&gt;*.*"),IF('Helper (Ignore)'!$E29&lt;'Helper (Ignore)'!$B$2+1,IF('Helper (Ignore)'!M29=1,"True","False"),""),"")</f>
        <v/>
      </c>
      <c r="G28" s="11" t="str">
        <f>IF(COUNTIF(G$2,"&lt;&gt;*.*"),IF('Helper (Ignore)'!$E29&lt;'Helper (Ignore)'!$B$2+1,IF('Helper (Ignore)'!O29=1,"True","False"),""),"")</f>
        <v/>
      </c>
      <c r="H28" s="8"/>
      <c r="I28" s="15"/>
      <c r="J28" s="16"/>
      <c r="K28" s="16"/>
      <c r="L28" s="16"/>
      <c r="M28" s="16"/>
      <c r="N28" s="16"/>
      <c r="O28" s="17"/>
      <c r="P28" s="8"/>
      <c r="Q28" s="9" t="str">
        <f>IF('Helper (Ignore)'!E29&lt;'Helper (Ignore)'!$B$2+1,IF('Helper (Ignore)'!P29,IF('Helper (Ignore)'!Q29,"INVALID","VALID"),"VALID"),"")</f>
        <v/>
      </c>
    </row>
    <row r="29" spans="2:17" x14ac:dyDescent="0.2">
      <c r="B29" s="10" t="str">
        <f>IF('Helper (Ignore)'!E30&lt;'Helper (Ignore)'!$B$2+1,'Helper (Ignore)'!E30,"")</f>
        <v/>
      </c>
      <c r="C29" s="2" t="str">
        <f>IF(COUNTIF(C$2,"&lt;&gt;*.*"),IF('Helper (Ignore)'!$E30&lt;'Helper (Ignore)'!$B$2+1,IF('Helper (Ignore)'!G30=1,"True","False"),""),"")</f>
        <v/>
      </c>
      <c r="D29" s="2" t="str">
        <f>IF(COUNTIF(D$2,"&lt;&gt;*.*"),IF('Helper (Ignore)'!$E30&lt;'Helper (Ignore)'!$B$2+1,IF('Helper (Ignore)'!I30=1,"True","False"),""),"")</f>
        <v/>
      </c>
      <c r="E29" s="2" t="str">
        <f>IF(COUNTIF(E$2,"&lt;&gt;*.*"),IF('Helper (Ignore)'!$E30&lt;'Helper (Ignore)'!$B$2+1,IF('Helper (Ignore)'!K30=1,"True","False"),""),"")</f>
        <v/>
      </c>
      <c r="F29" s="2" t="str">
        <f>IF(COUNTIF(F$2,"&lt;&gt;*.*"),IF('Helper (Ignore)'!$E30&lt;'Helper (Ignore)'!$B$2+1,IF('Helper (Ignore)'!M30=1,"True","False"),""),"")</f>
        <v/>
      </c>
      <c r="G29" s="11" t="str">
        <f>IF(COUNTIF(G$2,"&lt;&gt;*.*"),IF('Helper (Ignore)'!$E30&lt;'Helper (Ignore)'!$B$2+1,IF('Helper (Ignore)'!O30=1,"True","False"),""),"")</f>
        <v/>
      </c>
      <c r="H29" s="8"/>
      <c r="I29" s="15"/>
      <c r="J29" s="16"/>
      <c r="K29" s="16"/>
      <c r="L29" s="16"/>
      <c r="M29" s="16"/>
      <c r="N29" s="16"/>
      <c r="O29" s="17"/>
      <c r="P29" s="8"/>
      <c r="Q29" s="9" t="str">
        <f>IF('Helper (Ignore)'!E30&lt;'Helper (Ignore)'!$B$2+1,IF('Helper (Ignore)'!P30,IF('Helper (Ignore)'!Q30,"INVALID","VALID"),"VALID"),"")</f>
        <v/>
      </c>
    </row>
    <row r="30" spans="2:17" x14ac:dyDescent="0.2">
      <c r="B30" s="10" t="str">
        <f>IF('Helper (Ignore)'!E31&lt;'Helper (Ignore)'!$B$2+1,'Helper (Ignore)'!E31,"")</f>
        <v/>
      </c>
      <c r="C30" s="2" t="str">
        <f>IF(COUNTIF(C$2,"&lt;&gt;*.*"),IF('Helper (Ignore)'!$E31&lt;'Helper (Ignore)'!$B$2+1,IF('Helper (Ignore)'!G31=1,"True","False"),""),"")</f>
        <v/>
      </c>
      <c r="D30" s="2" t="str">
        <f>IF(COUNTIF(D$2,"&lt;&gt;*.*"),IF('Helper (Ignore)'!$E31&lt;'Helper (Ignore)'!$B$2+1,IF('Helper (Ignore)'!I31=1,"True","False"),""),"")</f>
        <v/>
      </c>
      <c r="E30" s="2" t="str">
        <f>IF(COUNTIF(E$2,"&lt;&gt;*.*"),IF('Helper (Ignore)'!$E31&lt;'Helper (Ignore)'!$B$2+1,IF('Helper (Ignore)'!K31=1,"True","False"),""),"")</f>
        <v/>
      </c>
      <c r="F30" s="2" t="str">
        <f>IF(COUNTIF(F$2,"&lt;&gt;*.*"),IF('Helper (Ignore)'!$E31&lt;'Helper (Ignore)'!$B$2+1,IF('Helper (Ignore)'!M31=1,"True","False"),""),"")</f>
        <v/>
      </c>
      <c r="G30" s="11" t="str">
        <f>IF(COUNTIF(G$2,"&lt;&gt;*.*"),IF('Helper (Ignore)'!$E31&lt;'Helper (Ignore)'!$B$2+1,IF('Helper (Ignore)'!O31=1,"True","False"),""),"")</f>
        <v/>
      </c>
      <c r="H30" s="8"/>
      <c r="I30" s="15"/>
      <c r="J30" s="16"/>
      <c r="K30" s="16"/>
      <c r="L30" s="16"/>
      <c r="M30" s="16"/>
      <c r="N30" s="16"/>
      <c r="O30" s="17"/>
      <c r="P30" s="8"/>
      <c r="Q30" s="9" t="str">
        <f>IF('Helper (Ignore)'!E31&lt;'Helper (Ignore)'!$B$2+1,IF('Helper (Ignore)'!P31,IF('Helper (Ignore)'!Q31,"INVALID","VALID"),"VALID"),"")</f>
        <v/>
      </c>
    </row>
    <row r="31" spans="2:17" x14ac:dyDescent="0.2">
      <c r="B31" s="10" t="str">
        <f>IF('Helper (Ignore)'!E32&lt;'Helper (Ignore)'!$B$2+1,'Helper (Ignore)'!E32,"")</f>
        <v/>
      </c>
      <c r="C31" s="2" t="str">
        <f>IF(COUNTIF(C$2,"&lt;&gt;*.*"),IF('Helper (Ignore)'!$E32&lt;'Helper (Ignore)'!$B$2+1,IF('Helper (Ignore)'!G32=1,"True","False"),""),"")</f>
        <v/>
      </c>
      <c r="D31" s="2" t="str">
        <f>IF(COUNTIF(D$2,"&lt;&gt;*.*"),IF('Helper (Ignore)'!$E32&lt;'Helper (Ignore)'!$B$2+1,IF('Helper (Ignore)'!I32=1,"True","False"),""),"")</f>
        <v/>
      </c>
      <c r="E31" s="2" t="str">
        <f>IF(COUNTIF(E$2,"&lt;&gt;*.*"),IF('Helper (Ignore)'!$E32&lt;'Helper (Ignore)'!$B$2+1,IF('Helper (Ignore)'!K32=1,"True","False"),""),"")</f>
        <v/>
      </c>
      <c r="F31" s="2" t="str">
        <f>IF(COUNTIF(F$2,"&lt;&gt;*.*"),IF('Helper (Ignore)'!$E32&lt;'Helper (Ignore)'!$B$2+1,IF('Helper (Ignore)'!M32=1,"True","False"),""),"")</f>
        <v/>
      </c>
      <c r="G31" s="11" t="str">
        <f>IF(COUNTIF(G$2,"&lt;&gt;*.*"),IF('Helper (Ignore)'!$E32&lt;'Helper (Ignore)'!$B$2+1,IF('Helper (Ignore)'!O32=1,"True","False"),""),"")</f>
        <v/>
      </c>
      <c r="H31" s="8"/>
      <c r="I31" s="15"/>
      <c r="J31" s="16"/>
      <c r="K31" s="16"/>
      <c r="L31" s="16"/>
      <c r="M31" s="16"/>
      <c r="N31" s="16"/>
      <c r="O31" s="17"/>
      <c r="P31" s="8"/>
      <c r="Q31" s="9" t="str">
        <f>IF('Helper (Ignore)'!E32&lt;'Helper (Ignore)'!$B$2+1,IF('Helper (Ignore)'!P32,IF('Helper (Ignore)'!Q32,"INVALID","VALID"),"VALID"),"")</f>
        <v/>
      </c>
    </row>
    <row r="32" spans="2:17" x14ac:dyDescent="0.2">
      <c r="B32" s="10" t="str">
        <f>IF('Helper (Ignore)'!E33&lt;'Helper (Ignore)'!$B$2+1,'Helper (Ignore)'!E33,"")</f>
        <v/>
      </c>
      <c r="C32" s="2" t="str">
        <f>IF(COUNTIF(C$2,"&lt;&gt;*.*"),IF('Helper (Ignore)'!$E33&lt;'Helper (Ignore)'!$B$2+1,IF('Helper (Ignore)'!G33=1,"True","False"),""),"")</f>
        <v/>
      </c>
      <c r="D32" s="2" t="str">
        <f>IF(COUNTIF(D$2,"&lt;&gt;*.*"),IF('Helper (Ignore)'!$E33&lt;'Helper (Ignore)'!$B$2+1,IF('Helper (Ignore)'!I33=1,"True","False"),""),"")</f>
        <v/>
      </c>
      <c r="E32" s="2" t="str">
        <f>IF(COUNTIF(E$2,"&lt;&gt;*.*"),IF('Helper (Ignore)'!$E33&lt;'Helper (Ignore)'!$B$2+1,IF('Helper (Ignore)'!K33=1,"True","False"),""),"")</f>
        <v/>
      </c>
      <c r="F32" s="2" t="str">
        <f>IF(COUNTIF(F$2,"&lt;&gt;*.*"),IF('Helper (Ignore)'!$E33&lt;'Helper (Ignore)'!$B$2+1,IF('Helper (Ignore)'!M33=1,"True","False"),""),"")</f>
        <v/>
      </c>
      <c r="G32" s="11" t="str">
        <f>IF(COUNTIF(G$2,"&lt;&gt;*.*"),IF('Helper (Ignore)'!$E33&lt;'Helper (Ignore)'!$B$2+1,IF('Helper (Ignore)'!O33=1,"True","False"),""),"")</f>
        <v/>
      </c>
      <c r="H32" s="8"/>
      <c r="I32" s="15"/>
      <c r="J32" s="16"/>
      <c r="K32" s="16"/>
      <c r="L32" s="16"/>
      <c r="M32" s="16"/>
      <c r="N32" s="16"/>
      <c r="O32" s="17"/>
      <c r="P32" s="8"/>
      <c r="Q32" s="9" t="str">
        <f>IF('Helper (Ignore)'!E33&lt;'Helper (Ignore)'!$B$2+1,IF('Helper (Ignore)'!P33,IF('Helper (Ignore)'!Q33,"INVALID","VALID"),"VALID"),"")</f>
        <v/>
      </c>
    </row>
    <row r="33" spans="2:17" x14ac:dyDescent="0.2">
      <c r="B33" s="10" t="str">
        <f>IF('Helper (Ignore)'!E34&lt;'Helper (Ignore)'!$B$2+1,'Helper (Ignore)'!E34,"")</f>
        <v/>
      </c>
      <c r="C33" s="2" t="str">
        <f>IF(COUNTIF(C$2,"&lt;&gt;*.*"),IF('Helper (Ignore)'!$E34&lt;'Helper (Ignore)'!$B$2+1,IF('Helper (Ignore)'!G34=1,"True","False"),""),"")</f>
        <v/>
      </c>
      <c r="D33" s="2" t="str">
        <f>IF(COUNTIF(D$2,"&lt;&gt;*.*"),IF('Helper (Ignore)'!$E34&lt;'Helper (Ignore)'!$B$2+1,IF('Helper (Ignore)'!I34=1,"True","False"),""),"")</f>
        <v/>
      </c>
      <c r="E33" s="2" t="str">
        <f>IF(COUNTIF(E$2,"&lt;&gt;*.*"),IF('Helper (Ignore)'!$E34&lt;'Helper (Ignore)'!$B$2+1,IF('Helper (Ignore)'!K34=1,"True","False"),""),"")</f>
        <v/>
      </c>
      <c r="F33" s="2" t="str">
        <f>IF(COUNTIF(F$2,"&lt;&gt;*.*"),IF('Helper (Ignore)'!$E34&lt;'Helper (Ignore)'!$B$2+1,IF('Helper (Ignore)'!M34=1,"True","False"),""),"")</f>
        <v/>
      </c>
      <c r="G33" s="11" t="str">
        <f>IF(COUNTIF(G$2,"&lt;&gt;*.*"),IF('Helper (Ignore)'!$E34&lt;'Helper (Ignore)'!$B$2+1,IF('Helper (Ignore)'!O34=1,"True","False"),""),"")</f>
        <v/>
      </c>
      <c r="H33" s="8"/>
      <c r="I33" s="15"/>
      <c r="J33" s="16"/>
      <c r="K33" s="16"/>
      <c r="L33" s="16"/>
      <c r="M33" s="16"/>
      <c r="N33" s="16"/>
      <c r="O33" s="17"/>
      <c r="P33" s="8"/>
      <c r="Q33" s="9" t="str">
        <f>IF('Helper (Ignore)'!E34&lt;'Helper (Ignore)'!$B$2+1,IF('Helper (Ignore)'!P34,IF('Helper (Ignore)'!Q34,"INVALID","VALID"),"VALID"),"")</f>
        <v/>
      </c>
    </row>
    <row r="34" spans="2:17" ht="17" thickBot="1" x14ac:dyDescent="0.25">
      <c r="B34" s="12" t="str">
        <f>IF('Helper (Ignore)'!E35&lt;'Helper (Ignore)'!$B$2+1,'Helper (Ignore)'!E35,"")</f>
        <v/>
      </c>
      <c r="C34" s="13" t="str">
        <f>IF(COUNTIF(C$2,"&lt;&gt;*.*"),IF('Helper (Ignore)'!$E35&lt;'Helper (Ignore)'!$B$2+1,IF('Helper (Ignore)'!G35=1,"True","False"),""),"")</f>
        <v/>
      </c>
      <c r="D34" s="13" t="str">
        <f>IF(COUNTIF(D$2,"&lt;&gt;*.*"),IF('Helper (Ignore)'!$E35&lt;'Helper (Ignore)'!$B$2+1,IF('Helper (Ignore)'!I35=1,"True","False"),""),"")</f>
        <v/>
      </c>
      <c r="E34" s="13" t="str">
        <f>IF(COUNTIF(E$2,"&lt;&gt;*.*"),IF('Helper (Ignore)'!$E35&lt;'Helper (Ignore)'!$B$2+1,IF('Helper (Ignore)'!K35=1,"True","False"),""),"")</f>
        <v/>
      </c>
      <c r="F34" s="13" t="str">
        <f>IF(COUNTIF(F$2,"&lt;&gt;*.*"),IF('Helper (Ignore)'!$E35&lt;'Helper (Ignore)'!$B$2+1,IF('Helper (Ignore)'!M35=1,"True","False"),""),"")</f>
        <v/>
      </c>
      <c r="G34" s="14" t="str">
        <f>IF(COUNTIF(G$2,"&lt;&gt;*.*"),IF('Helper (Ignore)'!$E35&lt;'Helper (Ignore)'!$B$2+1,IF('Helper (Ignore)'!O35=1,"True","False"),""),"")</f>
        <v/>
      </c>
      <c r="H34" s="8"/>
      <c r="I34" s="18"/>
      <c r="J34" s="19"/>
      <c r="K34" s="19"/>
      <c r="L34" s="19"/>
      <c r="M34" s="19"/>
      <c r="N34" s="19"/>
      <c r="O34" s="20"/>
      <c r="P34" s="8"/>
      <c r="Q34" s="5" t="str">
        <f>IF('Helper (Ignore)'!E35&lt;'Helper (Ignore)'!$B$2+1,IF('Helper (Ignore)'!P35,IF('Helper (Ignore)'!Q35,"INVALID","VALID"),"VALID"),"")</f>
        <v/>
      </c>
    </row>
  </sheetData>
  <sheetProtection sheet="1" objects="1" scenarios="1" selectLockedCells="1"/>
  <phoneticPr fontId="1" type="noConversion"/>
  <conditionalFormatting sqref="C3:G34">
    <cfRule type="containsText" dxfId="21" priority="8" operator="containsText" text="True">
      <formula>NOT(ISERROR(SEARCH("True",C3)))</formula>
    </cfRule>
    <cfRule type="containsText" dxfId="20" priority="9" operator="containsText" text="False">
      <formula>NOT(ISERROR(SEARCH("False",C3)))</formula>
    </cfRule>
  </conditionalFormatting>
  <conditionalFormatting sqref="I3:L34">
    <cfRule type="containsText" dxfId="19" priority="6" operator="containsText" text="True">
      <formula>NOT(ISERROR(SEARCH("True",I3)))</formula>
    </cfRule>
    <cfRule type="containsText" dxfId="18" priority="7" operator="containsText" text="False">
      <formula>NOT(ISERROR(SEARCH("False",I3)))</formula>
    </cfRule>
  </conditionalFormatting>
  <conditionalFormatting sqref="Q3:Q34">
    <cfRule type="containsText" dxfId="17" priority="4" operator="containsText" text="INVALID">
      <formula>NOT(ISERROR(SEARCH("INVALID",Q3)))</formula>
    </cfRule>
    <cfRule type="containsText" dxfId="16" priority="5" operator="containsText" text="VALID">
      <formula>NOT(ISERROR(SEARCH("VALID",Q3)))</formula>
    </cfRule>
  </conditionalFormatting>
  <conditionalFormatting sqref="O3:O34">
    <cfRule type="containsText" dxfId="15" priority="2" operator="containsText" text="True">
      <formula>NOT(ISERROR(SEARCH("True",O3)))</formula>
    </cfRule>
    <cfRule type="containsText" dxfId="14" priority="3" operator="containsText" text="False">
      <formula>NOT(ISERROR(SEARCH("False",O3)))</formula>
    </cfRule>
  </conditionalFormatting>
  <conditionalFormatting sqref="B3:B34">
    <cfRule type="notContainsBlanks" dxfId="13" priority="1">
      <formula>LEN(TRIM(B3))&gt;0</formula>
    </cfRule>
  </conditionalFormatting>
  <pageMargins left="0.7" right="0.7" top="0.75" bottom="0.75" header="0.3" footer="0.3"/>
  <ignoredErrors>
    <ignoredError sqref="D3:G3 C3" calculatedColumn="1"/>
  </ignoredErrors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12F3-68C0-EA43-85D6-EF821129A7C1}">
  <sheetPr codeName="Sheet3"/>
  <dimension ref="A1:Q35"/>
  <sheetViews>
    <sheetView workbookViewId="0">
      <selection activeCell="B2" sqref="B2"/>
    </sheetView>
  </sheetViews>
  <sheetFormatPr baseColWidth="10" defaultRowHeight="16" x14ac:dyDescent="0.2"/>
  <cols>
    <col min="1" max="1" width="12.6640625" bestFit="1" customWidth="1"/>
  </cols>
  <sheetData>
    <row r="1" spans="1:17" x14ac:dyDescent="0.2">
      <c r="A1" t="s">
        <v>6</v>
      </c>
      <c r="B1">
        <f>COUNTIF('Truth Table'!C2:G2,"&lt;&gt;*.*")</f>
        <v>3</v>
      </c>
      <c r="E1" t="s">
        <v>29</v>
      </c>
      <c r="F1" t="s">
        <v>28</v>
      </c>
      <c r="H1" t="s">
        <v>27</v>
      </c>
      <c r="J1" t="s">
        <v>25</v>
      </c>
      <c r="L1" t="s">
        <v>26</v>
      </c>
      <c r="N1" t="s">
        <v>24</v>
      </c>
      <c r="P1" t="s">
        <v>31</v>
      </c>
    </row>
    <row r="2" spans="1:17" x14ac:dyDescent="0.2">
      <c r="B2">
        <f>POWER(2,B1)</f>
        <v>8</v>
      </c>
      <c r="C2">
        <f>'Helper (Ignore)'!B2/2</f>
        <v>4</v>
      </c>
      <c r="H2">
        <f>'Helper (Ignore)'!C2/2</f>
        <v>2</v>
      </c>
      <c r="J2">
        <f>'Helper (Ignore)'!H2/2</f>
        <v>1</v>
      </c>
      <c r="L2">
        <f>'Helper (Ignore)'!J2/2</f>
        <v>0.5</v>
      </c>
      <c r="N2">
        <f>'Helper (Ignore)'!L2/2</f>
        <v>0.25</v>
      </c>
    </row>
    <row r="4" spans="1:17" x14ac:dyDescent="0.2">
      <c r="E4">
        <v>1</v>
      </c>
      <c r="F4">
        <f>INT(('Helper (Ignore)'!$E4-1)/'Helper (Ignore)'!C$2)+1</f>
        <v>1</v>
      </c>
      <c r="G4">
        <f>IF('Helper (Ignore)'!$E4&lt;'Helper (Ignore)'!$B$2+1,IF(ISEVEN(F4),0,1),"")</f>
        <v>1</v>
      </c>
      <c r="H4">
        <f>INT(('Helper (Ignore)'!$E4-1)/H$2)+1</f>
        <v>1</v>
      </c>
      <c r="I4">
        <f>IF('Helper (Ignore)'!$E4&lt;'Helper (Ignore)'!$B$2+1,IF(ISEVEN(H4),0,1),"")</f>
        <v>1</v>
      </c>
      <c r="J4">
        <f>INT(('Helper (Ignore)'!$E4-1)/J$2)+1</f>
        <v>1</v>
      </c>
      <c r="K4">
        <f>IF('Helper (Ignore)'!$E4&lt;'Helper (Ignore)'!$B$2+1,IF(ISEVEN(J4),0,1),"")</f>
        <v>1</v>
      </c>
      <c r="L4">
        <f>INT(('Helper (Ignore)'!$E4-1)/L$2)+1</f>
        <v>1</v>
      </c>
      <c r="M4">
        <f>IF('Helper (Ignore)'!$E4&lt;'Helper (Ignore)'!$B$2+1,IF(ISEVEN(L4),0,1),"")</f>
        <v>1</v>
      </c>
      <c r="N4">
        <f>INT(('Helper (Ignore)'!$E4-1)/N$2)+1</f>
        <v>1</v>
      </c>
      <c r="O4">
        <f>IF('Helper (Ignore)'!$E4&lt;'Helper (Ignore)'!$B$2+1,IF(ISEVEN(N4),0,1),"")</f>
        <v>1</v>
      </c>
      <c r="P4" s="3" t="b">
        <f>NOT(COUNTIF('Truth Table'!I3:K3,"*"&amp;FALSE&amp;"*")&gt;0)</f>
        <v>1</v>
      </c>
      <c r="Q4" s="3" t="b">
        <f>ISNUMBER(SEARCH("FALSE",'Truth Table'!O3))</f>
        <v>1</v>
      </c>
    </row>
    <row r="5" spans="1:17" x14ac:dyDescent="0.2">
      <c r="E5">
        <v>2</v>
      </c>
      <c r="F5">
        <f>INT(('Helper (Ignore)'!$E5-1)/'Helper (Ignore)'!C$2)+1</f>
        <v>1</v>
      </c>
      <c r="G5">
        <f>IF('Helper (Ignore)'!$E5&lt;'Helper (Ignore)'!$B$2+1,IF(ISEVEN(F5),0,1),"")</f>
        <v>1</v>
      </c>
      <c r="H5">
        <f>INT(('Helper (Ignore)'!$E5-1)/H$2)+1</f>
        <v>1</v>
      </c>
      <c r="I5">
        <f>IF('Helper (Ignore)'!$E5&lt;'Helper (Ignore)'!$B$2+1,IF(ISEVEN(H5),0,1),"")</f>
        <v>1</v>
      </c>
      <c r="J5">
        <f>INT(('Helper (Ignore)'!$E5-1)/J$2)+1</f>
        <v>2</v>
      </c>
      <c r="K5">
        <f>IF('Helper (Ignore)'!$E5&lt;'Helper (Ignore)'!$B$2+1,IF(ISEVEN(J5),0,1),"")</f>
        <v>0</v>
      </c>
      <c r="L5">
        <f>INT(('Helper (Ignore)'!$E5-1)/L$2)+1</f>
        <v>3</v>
      </c>
      <c r="M5">
        <f>IF('Helper (Ignore)'!$E5&lt;'Helper (Ignore)'!$B$2+1,IF(ISEVEN(L5),0,1),"")</f>
        <v>1</v>
      </c>
      <c r="N5">
        <f>INT(('Helper (Ignore)'!$E5-1)/N$2)+1</f>
        <v>5</v>
      </c>
      <c r="O5">
        <f>IF('Helper (Ignore)'!$E5&lt;'Helper (Ignore)'!$B$2+1,IF(ISEVEN(N5),0,1),"")</f>
        <v>1</v>
      </c>
      <c r="P5" s="3" t="b">
        <f>NOT(COUNTIF('Truth Table'!I4:K4,"*"&amp;FALSE&amp;"*")&gt;0)</f>
        <v>1</v>
      </c>
      <c r="Q5" s="3" t="b">
        <f>ISNUMBER(SEARCH("FALSE",'Truth Table'!O4))</f>
        <v>1</v>
      </c>
    </row>
    <row r="6" spans="1:17" x14ac:dyDescent="0.2">
      <c r="E6">
        <v>3</v>
      </c>
      <c r="F6">
        <f>INT(('Helper (Ignore)'!$E6-1)/'Helper (Ignore)'!C$2)+1</f>
        <v>1</v>
      </c>
      <c r="G6">
        <f>IF('Helper (Ignore)'!$E6&lt;'Helper (Ignore)'!$B$2+1,IF(ISEVEN(F6),0,1),"")</f>
        <v>1</v>
      </c>
      <c r="H6">
        <f>INT(('Helper (Ignore)'!$E6-1)/H$2)+1</f>
        <v>2</v>
      </c>
      <c r="I6">
        <f>IF('Helper (Ignore)'!$E6&lt;'Helper (Ignore)'!$B$2+1,IF(ISEVEN(H6),0,1),"")</f>
        <v>0</v>
      </c>
      <c r="J6">
        <f>INT(('Helper (Ignore)'!$E6-1)/J$2)+1</f>
        <v>3</v>
      </c>
      <c r="K6">
        <f>IF('Helper (Ignore)'!$E6&lt;'Helper (Ignore)'!$B$2+1,IF(ISEVEN(J6),0,1),"")</f>
        <v>1</v>
      </c>
      <c r="L6">
        <f>INT(('Helper (Ignore)'!$E6-1)/L$2)+1</f>
        <v>5</v>
      </c>
      <c r="M6">
        <f>IF('Helper (Ignore)'!$E6&lt;'Helper (Ignore)'!$B$2+1,IF(ISEVEN(L6),0,1),"")</f>
        <v>1</v>
      </c>
      <c r="N6">
        <f>INT(('Helper (Ignore)'!$E6-1)/N$2)+1</f>
        <v>9</v>
      </c>
      <c r="O6">
        <f>IF('Helper (Ignore)'!$E6&lt;'Helper (Ignore)'!$B$2+1,IF(ISEVEN(N6),0,1),"")</f>
        <v>1</v>
      </c>
      <c r="P6" s="3" t="b">
        <f>NOT(COUNTIF('Truth Table'!I5:K5,"*"&amp;FALSE&amp;"*")&gt;0)</f>
        <v>0</v>
      </c>
      <c r="Q6" s="3" t="b">
        <f>ISNUMBER(SEARCH("FALSE",'Truth Table'!O5))</f>
        <v>1</v>
      </c>
    </row>
    <row r="7" spans="1:17" x14ac:dyDescent="0.2">
      <c r="E7">
        <v>4</v>
      </c>
      <c r="F7">
        <f>INT(('Helper (Ignore)'!$E7-1)/'Helper (Ignore)'!C$2)+1</f>
        <v>1</v>
      </c>
      <c r="G7">
        <f>IF('Helper (Ignore)'!$E7&lt;'Helper (Ignore)'!$B$2+1,IF(ISEVEN(F7),0,1),"")</f>
        <v>1</v>
      </c>
      <c r="H7">
        <f>INT(('Helper (Ignore)'!$E7-1)/H$2)+1</f>
        <v>2</v>
      </c>
      <c r="I7">
        <f>IF('Helper (Ignore)'!$E7&lt;'Helper (Ignore)'!$B$2+1,IF(ISEVEN(H7),0,1),"")</f>
        <v>0</v>
      </c>
      <c r="J7">
        <f>INT(('Helper (Ignore)'!$E7-1)/J$2)+1</f>
        <v>4</v>
      </c>
      <c r="K7">
        <f>IF('Helper (Ignore)'!$E7&lt;'Helper (Ignore)'!$B$2+1,IF(ISEVEN(J7),0,1),"")</f>
        <v>0</v>
      </c>
      <c r="L7">
        <f>INT(('Helper (Ignore)'!$E7-1)/L$2)+1</f>
        <v>7</v>
      </c>
      <c r="M7">
        <f>IF('Helper (Ignore)'!$E7&lt;'Helper (Ignore)'!$B$2+1,IF(ISEVEN(L7),0,1),"")</f>
        <v>1</v>
      </c>
      <c r="N7">
        <f>INT(('Helper (Ignore)'!$E7-1)/N$2)+1</f>
        <v>13</v>
      </c>
      <c r="O7">
        <f>IF('Helper (Ignore)'!$E7&lt;'Helper (Ignore)'!$B$2+1,IF(ISEVEN(N7),0,1),"")</f>
        <v>1</v>
      </c>
      <c r="P7" s="3" t="b">
        <f>NOT(COUNTIF('Truth Table'!I6:K6,"*"&amp;FALSE&amp;"*")&gt;0)</f>
        <v>0</v>
      </c>
      <c r="Q7" s="3" t="b">
        <f>ISNUMBER(SEARCH("FALSE",'Truth Table'!O6))</f>
        <v>1</v>
      </c>
    </row>
    <row r="8" spans="1:17" x14ac:dyDescent="0.2">
      <c r="E8">
        <v>5</v>
      </c>
      <c r="F8">
        <f>INT(('Helper (Ignore)'!$E8-1)/'Helper (Ignore)'!C$2)+1</f>
        <v>2</v>
      </c>
      <c r="G8">
        <f>IF('Helper (Ignore)'!$E8&lt;'Helper (Ignore)'!$B$2+1,IF(ISEVEN(F8),0,1),"")</f>
        <v>0</v>
      </c>
      <c r="H8">
        <f>INT(('Helper (Ignore)'!$E8-1)/H$2)+1</f>
        <v>3</v>
      </c>
      <c r="I8">
        <f>IF('Helper (Ignore)'!$E8&lt;'Helper (Ignore)'!$B$2+1,IF(ISEVEN(H8),0,1),"")</f>
        <v>1</v>
      </c>
      <c r="J8">
        <f>INT(('Helper (Ignore)'!$E8-1)/J$2)+1</f>
        <v>5</v>
      </c>
      <c r="K8">
        <f>IF('Helper (Ignore)'!$E8&lt;'Helper (Ignore)'!$B$2+1,IF(ISEVEN(J8),0,1),"")</f>
        <v>1</v>
      </c>
      <c r="L8">
        <f>INT(('Helper (Ignore)'!$E8-1)/L$2)+1</f>
        <v>9</v>
      </c>
      <c r="M8">
        <f>IF('Helper (Ignore)'!$E8&lt;'Helper (Ignore)'!$B$2+1,IF(ISEVEN(L8),0,1),"")</f>
        <v>1</v>
      </c>
      <c r="N8">
        <f>INT(('Helper (Ignore)'!$E8-1)/N$2)+1</f>
        <v>17</v>
      </c>
      <c r="O8">
        <f>IF('Helper (Ignore)'!$E8&lt;'Helper (Ignore)'!$B$2+1,IF(ISEVEN(N8),0,1),"")</f>
        <v>1</v>
      </c>
      <c r="P8" s="3" t="b">
        <f>NOT(COUNTIF('Truth Table'!I7:K7,"*"&amp;FALSE&amp;"*")&gt;0)</f>
        <v>1</v>
      </c>
      <c r="Q8" s="3" t="b">
        <f>ISNUMBER(SEARCH("FALSE",'Truth Table'!O7))</f>
        <v>0</v>
      </c>
    </row>
    <row r="9" spans="1:17" x14ac:dyDescent="0.2">
      <c r="E9">
        <v>6</v>
      </c>
      <c r="F9">
        <f>INT(('Helper (Ignore)'!$E9-1)/'Helper (Ignore)'!C$2)+1</f>
        <v>2</v>
      </c>
      <c r="G9">
        <f>IF('Helper (Ignore)'!$E9&lt;'Helper (Ignore)'!$B$2+1,IF(ISEVEN(F9),0,1),"")</f>
        <v>0</v>
      </c>
      <c r="H9">
        <f>INT(('Helper (Ignore)'!$E9-1)/H$2)+1</f>
        <v>3</v>
      </c>
      <c r="I9">
        <f>IF('Helper (Ignore)'!$E9&lt;'Helper (Ignore)'!$B$2+1,IF(ISEVEN(H9),0,1),"")</f>
        <v>1</v>
      </c>
      <c r="J9">
        <f>INT(('Helper (Ignore)'!$E9-1)/J$2)+1</f>
        <v>6</v>
      </c>
      <c r="K9">
        <f>IF('Helper (Ignore)'!$E9&lt;'Helper (Ignore)'!$B$2+1,IF(ISEVEN(J9),0,1),"")</f>
        <v>0</v>
      </c>
      <c r="L9">
        <f>INT(('Helper (Ignore)'!$E9-1)/L$2)+1</f>
        <v>11</v>
      </c>
      <c r="M9">
        <f>IF('Helper (Ignore)'!$E9&lt;'Helper (Ignore)'!$B$2+1,IF(ISEVEN(L9),0,1),"")</f>
        <v>1</v>
      </c>
      <c r="N9">
        <f>INT(('Helper (Ignore)'!$E9-1)/N$2)+1</f>
        <v>21</v>
      </c>
      <c r="O9">
        <f>IF('Helper (Ignore)'!$E9&lt;'Helper (Ignore)'!$B$2+1,IF(ISEVEN(N9),0,1),"")</f>
        <v>1</v>
      </c>
      <c r="P9" s="3" t="b">
        <f>NOT(COUNTIF('Truth Table'!I8:K8,"*"&amp;FALSE&amp;"*")&gt;0)</f>
        <v>1</v>
      </c>
      <c r="Q9" s="3" t="b">
        <f>ISNUMBER(SEARCH("FALSE",'Truth Table'!O8))</f>
        <v>0</v>
      </c>
    </row>
    <row r="10" spans="1:17" x14ac:dyDescent="0.2">
      <c r="E10">
        <v>7</v>
      </c>
      <c r="F10">
        <f>INT(('Helper (Ignore)'!$E10-1)/'Helper (Ignore)'!C$2)+1</f>
        <v>2</v>
      </c>
      <c r="G10">
        <f>IF('Helper (Ignore)'!$E10&lt;'Helper (Ignore)'!$B$2+1,IF(ISEVEN(F10),0,1),"")</f>
        <v>0</v>
      </c>
      <c r="H10">
        <f>INT(('Helper (Ignore)'!$E10-1)/H$2)+1</f>
        <v>4</v>
      </c>
      <c r="I10">
        <f>IF('Helper (Ignore)'!$E10&lt;'Helper (Ignore)'!$B$2+1,IF(ISEVEN(H10),0,1),"")</f>
        <v>0</v>
      </c>
      <c r="J10">
        <f>INT(('Helper (Ignore)'!$E10-1)/J$2)+1</f>
        <v>7</v>
      </c>
      <c r="K10">
        <f>IF('Helper (Ignore)'!$E10&lt;'Helper (Ignore)'!$B$2+1,IF(ISEVEN(J10),0,1),"")</f>
        <v>1</v>
      </c>
      <c r="L10">
        <f>INT(('Helper (Ignore)'!$E10-1)/L$2)+1</f>
        <v>13</v>
      </c>
      <c r="M10">
        <f>IF('Helper (Ignore)'!$E10&lt;'Helper (Ignore)'!$B$2+1,IF(ISEVEN(L10),0,1),"")</f>
        <v>1</v>
      </c>
      <c r="N10">
        <f>INT(('Helper (Ignore)'!$E10-1)/N$2)+1</f>
        <v>25</v>
      </c>
      <c r="O10">
        <f>IF('Helper (Ignore)'!$E10&lt;'Helper (Ignore)'!$B$2+1,IF(ISEVEN(N10),0,1),"")</f>
        <v>1</v>
      </c>
      <c r="P10" s="3" t="b">
        <f>NOT(COUNTIF('Truth Table'!I9:K9,"*"&amp;FALSE&amp;"*")&gt;0)</f>
        <v>0</v>
      </c>
      <c r="Q10" s="3" t="b">
        <f>ISNUMBER(SEARCH("FALSE",'Truth Table'!O9))</f>
        <v>0</v>
      </c>
    </row>
    <row r="11" spans="1:17" x14ac:dyDescent="0.2">
      <c r="E11">
        <v>8</v>
      </c>
      <c r="F11">
        <f>INT(('Helper (Ignore)'!$E11-1)/'Helper (Ignore)'!C$2)+1</f>
        <v>2</v>
      </c>
      <c r="G11">
        <f>IF('Helper (Ignore)'!$E11&lt;'Helper (Ignore)'!$B$2+1,IF(ISEVEN(F11),0,1),"")</f>
        <v>0</v>
      </c>
      <c r="H11">
        <f>INT(('Helper (Ignore)'!$E11-1)/H$2)+1</f>
        <v>4</v>
      </c>
      <c r="I11">
        <f>IF('Helper (Ignore)'!$E11&lt;'Helper (Ignore)'!$B$2+1,IF(ISEVEN(H11),0,1),"")</f>
        <v>0</v>
      </c>
      <c r="J11">
        <f>INT(('Helper (Ignore)'!$E11-1)/J$2)+1</f>
        <v>8</v>
      </c>
      <c r="K11">
        <f>IF('Helper (Ignore)'!$E11&lt;'Helper (Ignore)'!$B$2+1,IF(ISEVEN(J11),0,1),"")</f>
        <v>0</v>
      </c>
      <c r="L11">
        <f>INT(('Helper (Ignore)'!$E11-1)/L$2)+1</f>
        <v>15</v>
      </c>
      <c r="M11">
        <f>IF('Helper (Ignore)'!$E11&lt;'Helper (Ignore)'!$B$2+1,IF(ISEVEN(L11),0,1),"")</f>
        <v>1</v>
      </c>
      <c r="N11">
        <f>INT(('Helper (Ignore)'!$E11-1)/N$2)+1</f>
        <v>29</v>
      </c>
      <c r="O11">
        <f>IF('Helper (Ignore)'!$E11&lt;'Helper (Ignore)'!$B$2+1,IF(ISEVEN(N11),0,1),"")</f>
        <v>1</v>
      </c>
      <c r="P11" s="3" t="b">
        <f>NOT(COUNTIF('Truth Table'!I10:K10,"*"&amp;FALSE&amp;"*")&gt;0)</f>
        <v>1</v>
      </c>
      <c r="Q11" s="3" t="b">
        <f>ISNUMBER(SEARCH("FALSE",'Truth Table'!O10))</f>
        <v>0</v>
      </c>
    </row>
    <row r="12" spans="1:17" x14ac:dyDescent="0.2">
      <c r="E12">
        <v>9</v>
      </c>
      <c r="F12">
        <f>INT(('Helper (Ignore)'!$E12-1)/'Helper (Ignore)'!C$2)+1</f>
        <v>3</v>
      </c>
      <c r="G12" t="str">
        <f>IF('Helper (Ignore)'!$E12&lt;'Helper (Ignore)'!$B$2+1,IF(ISEVEN(F12),0,1),"")</f>
        <v/>
      </c>
      <c r="H12">
        <f>INT(('Helper (Ignore)'!$E12-1)/H$2)+1</f>
        <v>5</v>
      </c>
      <c r="I12" t="str">
        <f>IF('Helper (Ignore)'!$E12&lt;'Helper (Ignore)'!$B$2+1,IF(ISEVEN(H12),0,1),"")</f>
        <v/>
      </c>
      <c r="J12">
        <f>INT(('Helper (Ignore)'!$E12-1)/J$2)+1</f>
        <v>9</v>
      </c>
      <c r="K12" t="str">
        <f>IF('Helper (Ignore)'!$E12&lt;'Helper (Ignore)'!$B$2+1,IF(ISEVEN(J12),0,1),"")</f>
        <v/>
      </c>
      <c r="L12">
        <f>INT(('Helper (Ignore)'!$E12-1)/L$2)+1</f>
        <v>17</v>
      </c>
      <c r="M12" t="str">
        <f>IF('Helper (Ignore)'!$E12&lt;'Helper (Ignore)'!$B$2+1,IF(ISEVEN(L12),0,1),"")</f>
        <v/>
      </c>
      <c r="N12">
        <f>INT(('Helper (Ignore)'!$E12-1)/N$2)+1</f>
        <v>33</v>
      </c>
      <c r="O12" t="str">
        <f>IF('Helper (Ignore)'!$E12&lt;'Helper (Ignore)'!$B$2+1,IF(ISEVEN(N12),0,1),"")</f>
        <v/>
      </c>
    </row>
    <row r="13" spans="1:17" x14ac:dyDescent="0.2">
      <c r="E13">
        <v>10</v>
      </c>
      <c r="F13">
        <f>INT(('Helper (Ignore)'!$E13-1)/'Helper (Ignore)'!C$2)+1</f>
        <v>3</v>
      </c>
      <c r="G13" t="str">
        <f>IF('Helper (Ignore)'!$E13&lt;'Helper (Ignore)'!$B$2+1,IF(ISEVEN(F13),0,1),"")</f>
        <v/>
      </c>
      <c r="H13">
        <f>INT(('Helper (Ignore)'!$E13-1)/H$2)+1</f>
        <v>5</v>
      </c>
      <c r="I13" t="str">
        <f>IF('Helper (Ignore)'!$E13&lt;'Helper (Ignore)'!$B$2+1,IF(ISEVEN(H13),0,1),"")</f>
        <v/>
      </c>
      <c r="J13">
        <f>INT(('Helper (Ignore)'!$E13-1)/J$2)+1</f>
        <v>10</v>
      </c>
      <c r="K13" t="str">
        <f>IF('Helper (Ignore)'!$E13&lt;'Helper (Ignore)'!$B$2+1,IF(ISEVEN(J13),0,1),"")</f>
        <v/>
      </c>
      <c r="L13">
        <f>INT(('Helper (Ignore)'!$E13-1)/L$2)+1</f>
        <v>19</v>
      </c>
      <c r="M13" t="str">
        <f>IF('Helper (Ignore)'!$E13&lt;'Helper (Ignore)'!$B$2+1,IF(ISEVEN(L13),0,1),"")</f>
        <v/>
      </c>
      <c r="N13">
        <f>INT(('Helper (Ignore)'!$E13-1)/N$2)+1</f>
        <v>37</v>
      </c>
      <c r="O13" t="str">
        <f>IF('Helper (Ignore)'!$E13&lt;'Helper (Ignore)'!$B$2+1,IF(ISEVEN(N13),0,1),"")</f>
        <v/>
      </c>
    </row>
    <row r="14" spans="1:17" x14ac:dyDescent="0.2">
      <c r="E14">
        <v>11</v>
      </c>
      <c r="F14">
        <f>INT(('Helper (Ignore)'!$E14-1)/'Helper (Ignore)'!C$2)+1</f>
        <v>3</v>
      </c>
      <c r="G14" t="str">
        <f>IF('Helper (Ignore)'!$E14&lt;'Helper (Ignore)'!$B$2+1,IF(ISEVEN(F14),0,1),"")</f>
        <v/>
      </c>
      <c r="H14">
        <f>INT(('Helper (Ignore)'!$E14-1)/H$2)+1</f>
        <v>6</v>
      </c>
      <c r="I14" t="str">
        <f>IF('Helper (Ignore)'!$E14&lt;'Helper (Ignore)'!$B$2+1,IF(ISEVEN(H14),0,1),"")</f>
        <v/>
      </c>
      <c r="J14">
        <f>INT(('Helper (Ignore)'!$E14-1)/J$2)+1</f>
        <v>11</v>
      </c>
      <c r="K14" t="str">
        <f>IF('Helper (Ignore)'!$E14&lt;'Helper (Ignore)'!$B$2+1,IF(ISEVEN(J14),0,1),"")</f>
        <v/>
      </c>
      <c r="L14">
        <f>INT(('Helper (Ignore)'!$E14-1)/L$2)+1</f>
        <v>21</v>
      </c>
      <c r="M14" t="str">
        <f>IF('Helper (Ignore)'!$E14&lt;'Helper (Ignore)'!$B$2+1,IF(ISEVEN(L14),0,1),"")</f>
        <v/>
      </c>
      <c r="N14">
        <f>INT(('Helper (Ignore)'!$E14-1)/N$2)+1</f>
        <v>41</v>
      </c>
      <c r="O14" t="str">
        <f>IF('Helper (Ignore)'!$E14&lt;'Helper (Ignore)'!$B$2+1,IF(ISEVEN(N14),0,1),"")</f>
        <v/>
      </c>
    </row>
    <row r="15" spans="1:17" x14ac:dyDescent="0.2">
      <c r="E15">
        <v>12</v>
      </c>
      <c r="F15">
        <f>INT(('Helper (Ignore)'!$E15-1)/'Helper (Ignore)'!C$2)+1</f>
        <v>3</v>
      </c>
      <c r="G15" t="str">
        <f>IF('Helper (Ignore)'!$E15&lt;'Helper (Ignore)'!$B$2+1,IF(ISEVEN(F15),0,1),"")</f>
        <v/>
      </c>
      <c r="H15">
        <f>INT(('Helper (Ignore)'!$E15-1)/H$2)+1</f>
        <v>6</v>
      </c>
      <c r="I15" t="str">
        <f>IF('Helper (Ignore)'!$E15&lt;'Helper (Ignore)'!$B$2+1,IF(ISEVEN(H15),0,1),"")</f>
        <v/>
      </c>
      <c r="J15">
        <f>INT(('Helper (Ignore)'!$E15-1)/J$2)+1</f>
        <v>12</v>
      </c>
      <c r="K15" t="str">
        <f>IF('Helper (Ignore)'!$E15&lt;'Helper (Ignore)'!$B$2+1,IF(ISEVEN(J15),0,1),"")</f>
        <v/>
      </c>
      <c r="L15">
        <f>INT(('Helper (Ignore)'!$E15-1)/L$2)+1</f>
        <v>23</v>
      </c>
      <c r="M15" t="str">
        <f>IF('Helper (Ignore)'!$E15&lt;'Helper (Ignore)'!$B$2+1,IF(ISEVEN(L15),0,1),"")</f>
        <v/>
      </c>
      <c r="N15">
        <f>INT(('Helper (Ignore)'!$E15-1)/N$2)+1</f>
        <v>45</v>
      </c>
      <c r="O15" t="str">
        <f>IF('Helper (Ignore)'!$E15&lt;'Helper (Ignore)'!$B$2+1,IF(ISEVEN(N15),0,1),"")</f>
        <v/>
      </c>
    </row>
    <row r="16" spans="1:17" x14ac:dyDescent="0.2">
      <c r="E16">
        <v>13</v>
      </c>
      <c r="F16">
        <f>INT(('Helper (Ignore)'!$E16-1)/'Helper (Ignore)'!C$2)+1</f>
        <v>4</v>
      </c>
      <c r="G16" t="str">
        <f>IF('Helper (Ignore)'!$E16&lt;'Helper (Ignore)'!$B$2+1,IF(ISEVEN(F16),0,1),"")</f>
        <v/>
      </c>
      <c r="H16">
        <f>INT(('Helper (Ignore)'!$E16-1)/H$2)+1</f>
        <v>7</v>
      </c>
      <c r="I16" t="str">
        <f>IF('Helper (Ignore)'!$E16&lt;'Helper (Ignore)'!$B$2+1,IF(ISEVEN(H16),0,1),"")</f>
        <v/>
      </c>
      <c r="J16">
        <f>INT(('Helper (Ignore)'!$E16-1)/J$2)+1</f>
        <v>13</v>
      </c>
      <c r="K16" t="str">
        <f>IF('Helper (Ignore)'!$E16&lt;'Helper (Ignore)'!$B$2+1,IF(ISEVEN(J16),0,1),"")</f>
        <v/>
      </c>
      <c r="L16">
        <f>INT(('Helper (Ignore)'!$E16-1)/L$2)+1</f>
        <v>25</v>
      </c>
      <c r="M16" t="str">
        <f>IF('Helper (Ignore)'!$E16&lt;'Helper (Ignore)'!$B$2+1,IF(ISEVEN(L16),0,1),"")</f>
        <v/>
      </c>
      <c r="N16">
        <f>INT(('Helper (Ignore)'!$E16-1)/N$2)+1</f>
        <v>49</v>
      </c>
      <c r="O16" t="str">
        <f>IF('Helper (Ignore)'!$E16&lt;'Helper (Ignore)'!$B$2+1,IF(ISEVEN(N16),0,1),"")</f>
        <v/>
      </c>
    </row>
    <row r="17" spans="5:15" x14ac:dyDescent="0.2">
      <c r="E17">
        <v>14</v>
      </c>
      <c r="F17">
        <f>INT(('Helper (Ignore)'!$E17-1)/'Helper (Ignore)'!C$2)+1</f>
        <v>4</v>
      </c>
      <c r="G17" t="str">
        <f>IF('Helper (Ignore)'!$E17&lt;'Helper (Ignore)'!$B$2+1,IF(ISEVEN(F17),0,1),"")</f>
        <v/>
      </c>
      <c r="H17">
        <f>INT(('Helper (Ignore)'!$E17-1)/H$2)+1</f>
        <v>7</v>
      </c>
      <c r="I17" t="str">
        <f>IF('Helper (Ignore)'!$E17&lt;'Helper (Ignore)'!$B$2+1,IF(ISEVEN(H17),0,1),"")</f>
        <v/>
      </c>
      <c r="J17">
        <f>INT(('Helper (Ignore)'!$E17-1)/J$2)+1</f>
        <v>14</v>
      </c>
      <c r="K17" t="str">
        <f>IF('Helper (Ignore)'!$E17&lt;'Helper (Ignore)'!$B$2+1,IF(ISEVEN(J17),0,1),"")</f>
        <v/>
      </c>
      <c r="L17">
        <f>INT(('Helper (Ignore)'!$E17-1)/L$2)+1</f>
        <v>27</v>
      </c>
      <c r="M17" t="str">
        <f>IF('Helper (Ignore)'!$E17&lt;'Helper (Ignore)'!$B$2+1,IF(ISEVEN(L17),0,1),"")</f>
        <v/>
      </c>
      <c r="N17">
        <f>INT(('Helper (Ignore)'!$E17-1)/N$2)+1</f>
        <v>53</v>
      </c>
      <c r="O17" t="str">
        <f>IF('Helper (Ignore)'!$E17&lt;'Helper (Ignore)'!$B$2+1,IF(ISEVEN(N17),0,1),"")</f>
        <v/>
      </c>
    </row>
    <row r="18" spans="5:15" x14ac:dyDescent="0.2">
      <c r="E18">
        <v>15</v>
      </c>
      <c r="F18">
        <f>INT(('Helper (Ignore)'!$E18-1)/'Helper (Ignore)'!C$2)+1</f>
        <v>4</v>
      </c>
      <c r="G18" t="str">
        <f>IF('Helper (Ignore)'!$E18&lt;'Helper (Ignore)'!$B$2+1,IF(ISEVEN(F18),0,1),"")</f>
        <v/>
      </c>
      <c r="H18">
        <f>INT(('Helper (Ignore)'!$E18-1)/H$2)+1</f>
        <v>8</v>
      </c>
      <c r="I18" t="str">
        <f>IF('Helper (Ignore)'!$E18&lt;'Helper (Ignore)'!$B$2+1,IF(ISEVEN(H18),0,1),"")</f>
        <v/>
      </c>
      <c r="J18">
        <f>INT(('Helper (Ignore)'!$E18-1)/J$2)+1</f>
        <v>15</v>
      </c>
      <c r="K18" t="str">
        <f>IF('Helper (Ignore)'!$E18&lt;'Helper (Ignore)'!$B$2+1,IF(ISEVEN(J18),0,1),"")</f>
        <v/>
      </c>
      <c r="L18">
        <f>INT(('Helper (Ignore)'!$E18-1)/L$2)+1</f>
        <v>29</v>
      </c>
      <c r="M18" t="str">
        <f>IF('Helper (Ignore)'!$E18&lt;'Helper (Ignore)'!$B$2+1,IF(ISEVEN(L18),0,1),"")</f>
        <v/>
      </c>
      <c r="N18">
        <f>INT(('Helper (Ignore)'!$E18-1)/N$2)+1</f>
        <v>57</v>
      </c>
      <c r="O18" t="str">
        <f>IF('Helper (Ignore)'!$E18&lt;'Helper (Ignore)'!$B$2+1,IF(ISEVEN(N18),0,1),"")</f>
        <v/>
      </c>
    </row>
    <row r="19" spans="5:15" x14ac:dyDescent="0.2">
      <c r="E19">
        <v>16</v>
      </c>
      <c r="F19">
        <f>INT(('Helper (Ignore)'!$E19-1)/'Helper (Ignore)'!C$2)+1</f>
        <v>4</v>
      </c>
      <c r="G19" t="str">
        <f>IF('Helper (Ignore)'!$E19&lt;'Helper (Ignore)'!$B$2+1,IF(ISEVEN(F19),0,1),"")</f>
        <v/>
      </c>
      <c r="H19">
        <f>INT(('Helper (Ignore)'!$E19-1)/H$2)+1</f>
        <v>8</v>
      </c>
      <c r="I19" t="str">
        <f>IF('Helper (Ignore)'!$E19&lt;'Helper (Ignore)'!$B$2+1,IF(ISEVEN(H19),0,1),"")</f>
        <v/>
      </c>
      <c r="J19">
        <f>INT(('Helper (Ignore)'!$E19-1)/J$2)+1</f>
        <v>16</v>
      </c>
      <c r="K19" t="str">
        <f>IF('Helper (Ignore)'!$E19&lt;'Helper (Ignore)'!$B$2+1,IF(ISEVEN(J19),0,1),"")</f>
        <v/>
      </c>
      <c r="L19">
        <f>INT(('Helper (Ignore)'!$E19-1)/L$2)+1</f>
        <v>31</v>
      </c>
      <c r="M19" t="str">
        <f>IF('Helper (Ignore)'!$E19&lt;'Helper (Ignore)'!$B$2+1,IF(ISEVEN(L19),0,1),"")</f>
        <v/>
      </c>
      <c r="N19">
        <f>INT(('Helper (Ignore)'!$E19-1)/N$2)+1</f>
        <v>61</v>
      </c>
      <c r="O19" t="str">
        <f>IF('Helper (Ignore)'!$E19&lt;'Helper (Ignore)'!$B$2+1,IF(ISEVEN(N19),0,1),"")</f>
        <v/>
      </c>
    </row>
    <row r="20" spans="5:15" x14ac:dyDescent="0.2">
      <c r="E20">
        <v>17</v>
      </c>
      <c r="F20">
        <f>INT(('Helper (Ignore)'!$E20-1)/'Helper (Ignore)'!C$2)+1</f>
        <v>5</v>
      </c>
      <c r="G20" t="str">
        <f>IF('Helper (Ignore)'!$E20&lt;'Helper (Ignore)'!$B$2+1,IF(ISEVEN(F20),0,1),"")</f>
        <v/>
      </c>
      <c r="H20">
        <f>INT(('Helper (Ignore)'!$E20-1)/H$2)+1</f>
        <v>9</v>
      </c>
      <c r="I20" t="str">
        <f>IF('Helper (Ignore)'!$E20&lt;'Helper (Ignore)'!$B$2+1,IF(ISEVEN(H20),0,1),"")</f>
        <v/>
      </c>
      <c r="J20">
        <f>INT(('Helper (Ignore)'!$E20-1)/J$2)+1</f>
        <v>17</v>
      </c>
      <c r="K20" t="str">
        <f>IF('Helper (Ignore)'!$E20&lt;'Helper (Ignore)'!$B$2+1,IF(ISEVEN(J20),0,1),"")</f>
        <v/>
      </c>
      <c r="L20">
        <f>INT(('Helper (Ignore)'!$E20-1)/L$2)+1</f>
        <v>33</v>
      </c>
      <c r="M20" t="str">
        <f>IF('Helper (Ignore)'!$E20&lt;'Helper (Ignore)'!$B$2+1,IF(ISEVEN(L20),0,1),"")</f>
        <v/>
      </c>
      <c r="N20">
        <f>INT(('Helper (Ignore)'!$E20-1)/N$2)+1</f>
        <v>65</v>
      </c>
      <c r="O20" t="str">
        <f>IF('Helper (Ignore)'!$E20&lt;'Helper (Ignore)'!$B$2+1,IF(ISEVEN(N20),0,1),"")</f>
        <v/>
      </c>
    </row>
    <row r="21" spans="5:15" x14ac:dyDescent="0.2">
      <c r="E21">
        <v>18</v>
      </c>
      <c r="F21">
        <f>INT(('Helper (Ignore)'!$E21-1)/'Helper (Ignore)'!C$2)+1</f>
        <v>5</v>
      </c>
      <c r="G21" t="str">
        <f>IF('Helper (Ignore)'!$E21&lt;'Helper (Ignore)'!$B$2+1,IF(ISEVEN(F21),0,1),"")</f>
        <v/>
      </c>
      <c r="H21">
        <f>INT(('Helper (Ignore)'!$E21-1)/H$2)+1</f>
        <v>9</v>
      </c>
      <c r="I21" t="str">
        <f>IF('Helper (Ignore)'!$E21&lt;'Helper (Ignore)'!$B$2+1,IF(ISEVEN(H21),0,1),"")</f>
        <v/>
      </c>
      <c r="J21">
        <f>INT(('Helper (Ignore)'!$E21-1)/J$2)+1</f>
        <v>18</v>
      </c>
      <c r="K21" t="str">
        <f>IF('Helper (Ignore)'!$E21&lt;'Helper (Ignore)'!$B$2+1,IF(ISEVEN(J21),0,1),"")</f>
        <v/>
      </c>
      <c r="L21">
        <f>INT(('Helper (Ignore)'!$E21-1)/L$2)+1</f>
        <v>35</v>
      </c>
      <c r="M21" t="str">
        <f>IF('Helper (Ignore)'!$E21&lt;'Helper (Ignore)'!$B$2+1,IF(ISEVEN(L21),0,1),"")</f>
        <v/>
      </c>
      <c r="N21">
        <f>INT(('Helper (Ignore)'!$E21-1)/N$2)+1</f>
        <v>69</v>
      </c>
      <c r="O21" t="str">
        <f>IF('Helper (Ignore)'!$E21&lt;'Helper (Ignore)'!$B$2+1,IF(ISEVEN(N21),0,1),"")</f>
        <v/>
      </c>
    </row>
    <row r="22" spans="5:15" x14ac:dyDescent="0.2">
      <c r="E22">
        <v>19</v>
      </c>
      <c r="F22">
        <f>INT(('Helper (Ignore)'!$E22-1)/'Helper (Ignore)'!C$2)+1</f>
        <v>5</v>
      </c>
      <c r="G22" t="str">
        <f>IF('Helper (Ignore)'!$E22&lt;'Helper (Ignore)'!$B$2+1,IF(ISEVEN(F22),0,1),"")</f>
        <v/>
      </c>
      <c r="H22">
        <f>INT(('Helper (Ignore)'!$E22-1)/H$2)+1</f>
        <v>10</v>
      </c>
      <c r="I22" t="str">
        <f>IF('Helper (Ignore)'!$E22&lt;'Helper (Ignore)'!$B$2+1,IF(ISEVEN(H22),0,1),"")</f>
        <v/>
      </c>
      <c r="J22">
        <f>INT(('Helper (Ignore)'!$E22-1)/J$2)+1</f>
        <v>19</v>
      </c>
      <c r="K22" t="str">
        <f>IF('Helper (Ignore)'!$E22&lt;'Helper (Ignore)'!$B$2+1,IF(ISEVEN(J22),0,1),"")</f>
        <v/>
      </c>
      <c r="L22">
        <f>INT(('Helper (Ignore)'!$E22-1)/L$2)+1</f>
        <v>37</v>
      </c>
      <c r="M22" t="str">
        <f>IF('Helper (Ignore)'!$E22&lt;'Helper (Ignore)'!$B$2+1,IF(ISEVEN(L22),0,1),"")</f>
        <v/>
      </c>
      <c r="N22">
        <f>INT(('Helper (Ignore)'!$E22-1)/N$2)+1</f>
        <v>73</v>
      </c>
      <c r="O22" t="str">
        <f>IF('Helper (Ignore)'!$E22&lt;'Helper (Ignore)'!$B$2+1,IF(ISEVEN(N22),0,1),"")</f>
        <v/>
      </c>
    </row>
    <row r="23" spans="5:15" x14ac:dyDescent="0.2">
      <c r="E23">
        <v>20</v>
      </c>
      <c r="F23">
        <f>INT(('Helper (Ignore)'!$E23-1)/'Helper (Ignore)'!C$2)+1</f>
        <v>5</v>
      </c>
      <c r="G23" t="str">
        <f>IF('Helper (Ignore)'!$E23&lt;'Helper (Ignore)'!$B$2+1,IF(ISEVEN(F23),0,1),"")</f>
        <v/>
      </c>
      <c r="H23">
        <f>INT(('Helper (Ignore)'!$E23-1)/H$2)+1</f>
        <v>10</v>
      </c>
      <c r="I23" t="str">
        <f>IF('Helper (Ignore)'!$E23&lt;'Helper (Ignore)'!$B$2+1,IF(ISEVEN(H23),0,1),"")</f>
        <v/>
      </c>
      <c r="J23">
        <f>INT(('Helper (Ignore)'!$E23-1)/J$2)+1</f>
        <v>20</v>
      </c>
      <c r="K23" t="str">
        <f>IF('Helper (Ignore)'!$E23&lt;'Helper (Ignore)'!$B$2+1,IF(ISEVEN(J23),0,1),"")</f>
        <v/>
      </c>
      <c r="L23">
        <f>INT(('Helper (Ignore)'!$E23-1)/L$2)+1</f>
        <v>39</v>
      </c>
      <c r="M23" t="str">
        <f>IF('Helper (Ignore)'!$E23&lt;'Helper (Ignore)'!$B$2+1,IF(ISEVEN(L23),0,1),"")</f>
        <v/>
      </c>
      <c r="N23">
        <f>INT(('Helper (Ignore)'!$E23-1)/N$2)+1</f>
        <v>77</v>
      </c>
      <c r="O23" t="str">
        <f>IF('Helper (Ignore)'!$E23&lt;'Helper (Ignore)'!$B$2+1,IF(ISEVEN(N23),0,1),"")</f>
        <v/>
      </c>
    </row>
    <row r="24" spans="5:15" x14ac:dyDescent="0.2">
      <c r="E24">
        <v>21</v>
      </c>
      <c r="F24">
        <f>INT(('Helper (Ignore)'!$E24-1)/'Helper (Ignore)'!C$2)+1</f>
        <v>6</v>
      </c>
      <c r="G24" t="str">
        <f>IF('Helper (Ignore)'!$E24&lt;'Helper (Ignore)'!$B$2+1,IF(ISEVEN(F24),0,1),"")</f>
        <v/>
      </c>
      <c r="H24">
        <f>INT(('Helper (Ignore)'!$E24-1)/H$2)+1</f>
        <v>11</v>
      </c>
      <c r="I24" t="str">
        <f>IF('Helper (Ignore)'!$E24&lt;'Helper (Ignore)'!$B$2+1,IF(ISEVEN(H24),0,1),"")</f>
        <v/>
      </c>
      <c r="J24">
        <f>INT(('Helper (Ignore)'!$E24-1)/J$2)+1</f>
        <v>21</v>
      </c>
      <c r="K24" t="str">
        <f>IF('Helper (Ignore)'!$E24&lt;'Helper (Ignore)'!$B$2+1,IF(ISEVEN(J24),0,1),"")</f>
        <v/>
      </c>
      <c r="L24">
        <f>INT(('Helper (Ignore)'!$E24-1)/L$2)+1</f>
        <v>41</v>
      </c>
      <c r="M24" t="str">
        <f>IF('Helper (Ignore)'!$E24&lt;'Helper (Ignore)'!$B$2+1,IF(ISEVEN(L24),0,1),"")</f>
        <v/>
      </c>
      <c r="N24">
        <f>INT(('Helper (Ignore)'!$E24-1)/N$2)+1</f>
        <v>81</v>
      </c>
      <c r="O24" t="str">
        <f>IF('Helper (Ignore)'!$E24&lt;'Helper (Ignore)'!$B$2+1,IF(ISEVEN(N24),0,1),"")</f>
        <v/>
      </c>
    </row>
    <row r="25" spans="5:15" x14ac:dyDescent="0.2">
      <c r="E25">
        <v>22</v>
      </c>
      <c r="F25">
        <f>INT(('Helper (Ignore)'!$E25-1)/'Helper (Ignore)'!C$2)+1</f>
        <v>6</v>
      </c>
      <c r="G25" t="str">
        <f>IF('Helper (Ignore)'!$E25&lt;'Helper (Ignore)'!$B$2+1,IF(ISEVEN(F25),0,1),"")</f>
        <v/>
      </c>
      <c r="H25">
        <f>INT(('Helper (Ignore)'!$E25-1)/H$2)+1</f>
        <v>11</v>
      </c>
      <c r="I25" t="str">
        <f>IF('Helper (Ignore)'!$E25&lt;'Helper (Ignore)'!$B$2+1,IF(ISEVEN(H25),0,1),"")</f>
        <v/>
      </c>
      <c r="J25">
        <f>INT(('Helper (Ignore)'!$E25-1)/J$2)+1</f>
        <v>22</v>
      </c>
      <c r="K25" t="str">
        <f>IF('Helper (Ignore)'!$E25&lt;'Helper (Ignore)'!$B$2+1,IF(ISEVEN(J25),0,1),"")</f>
        <v/>
      </c>
      <c r="L25">
        <f>INT(('Helper (Ignore)'!$E25-1)/L$2)+1</f>
        <v>43</v>
      </c>
      <c r="M25" t="str">
        <f>IF('Helper (Ignore)'!$E25&lt;'Helper (Ignore)'!$B$2+1,IF(ISEVEN(L25),0,1),"")</f>
        <v/>
      </c>
      <c r="N25">
        <f>INT(('Helper (Ignore)'!$E25-1)/N$2)+1</f>
        <v>85</v>
      </c>
      <c r="O25" t="str">
        <f>IF('Helper (Ignore)'!$E25&lt;'Helper (Ignore)'!$B$2+1,IF(ISEVEN(N25),0,1),"")</f>
        <v/>
      </c>
    </row>
    <row r="26" spans="5:15" x14ac:dyDescent="0.2">
      <c r="E26">
        <v>23</v>
      </c>
      <c r="F26">
        <f>INT(('Helper (Ignore)'!$E26-1)/'Helper (Ignore)'!C$2)+1</f>
        <v>6</v>
      </c>
      <c r="G26" t="str">
        <f>IF('Helper (Ignore)'!$E26&lt;'Helper (Ignore)'!$B$2+1,IF(ISEVEN(F26),0,1),"")</f>
        <v/>
      </c>
      <c r="H26">
        <f>INT(('Helper (Ignore)'!$E26-1)/H$2)+1</f>
        <v>12</v>
      </c>
      <c r="I26" t="str">
        <f>IF('Helper (Ignore)'!$E26&lt;'Helper (Ignore)'!$B$2+1,IF(ISEVEN(H26),0,1),"")</f>
        <v/>
      </c>
      <c r="J26">
        <f>INT(('Helper (Ignore)'!$E26-1)/J$2)+1</f>
        <v>23</v>
      </c>
      <c r="K26" t="str">
        <f>IF('Helper (Ignore)'!$E26&lt;'Helper (Ignore)'!$B$2+1,IF(ISEVEN(J26),0,1),"")</f>
        <v/>
      </c>
      <c r="L26">
        <f>INT(('Helper (Ignore)'!$E26-1)/L$2)+1</f>
        <v>45</v>
      </c>
      <c r="M26" t="str">
        <f>IF('Helper (Ignore)'!$E26&lt;'Helper (Ignore)'!$B$2+1,IF(ISEVEN(L26),0,1),"")</f>
        <v/>
      </c>
      <c r="N26">
        <f>INT(('Helper (Ignore)'!$E26-1)/N$2)+1</f>
        <v>89</v>
      </c>
      <c r="O26" t="str">
        <f>IF('Helper (Ignore)'!$E26&lt;'Helper (Ignore)'!$B$2+1,IF(ISEVEN(N26),0,1),"")</f>
        <v/>
      </c>
    </row>
    <row r="27" spans="5:15" x14ac:dyDescent="0.2">
      <c r="E27">
        <v>24</v>
      </c>
      <c r="F27">
        <f>INT(('Helper (Ignore)'!$E27-1)/'Helper (Ignore)'!C$2)+1</f>
        <v>6</v>
      </c>
      <c r="G27" t="str">
        <f>IF('Helper (Ignore)'!$E27&lt;'Helper (Ignore)'!$B$2+1,IF(ISEVEN(F27),0,1),"")</f>
        <v/>
      </c>
      <c r="H27">
        <f>INT(('Helper (Ignore)'!$E27-1)/H$2)+1</f>
        <v>12</v>
      </c>
      <c r="I27" t="str">
        <f>IF('Helper (Ignore)'!$E27&lt;'Helper (Ignore)'!$B$2+1,IF(ISEVEN(H27),0,1),"")</f>
        <v/>
      </c>
      <c r="J27">
        <f>INT(('Helper (Ignore)'!$E27-1)/J$2)+1</f>
        <v>24</v>
      </c>
      <c r="K27" t="str">
        <f>IF('Helper (Ignore)'!$E27&lt;'Helper (Ignore)'!$B$2+1,IF(ISEVEN(J27),0,1),"")</f>
        <v/>
      </c>
      <c r="L27">
        <f>INT(('Helper (Ignore)'!$E27-1)/L$2)+1</f>
        <v>47</v>
      </c>
      <c r="M27" t="str">
        <f>IF('Helper (Ignore)'!$E27&lt;'Helper (Ignore)'!$B$2+1,IF(ISEVEN(L27),0,1),"")</f>
        <v/>
      </c>
      <c r="N27">
        <f>INT(('Helper (Ignore)'!$E27-1)/N$2)+1</f>
        <v>93</v>
      </c>
      <c r="O27" t="str">
        <f>IF('Helper (Ignore)'!$E27&lt;'Helper (Ignore)'!$B$2+1,IF(ISEVEN(N27),0,1),"")</f>
        <v/>
      </c>
    </row>
    <row r="28" spans="5:15" x14ac:dyDescent="0.2">
      <c r="E28">
        <v>25</v>
      </c>
      <c r="F28">
        <f>INT(('Helper (Ignore)'!$E28-1)/'Helper (Ignore)'!C$2)+1</f>
        <v>7</v>
      </c>
      <c r="G28" t="str">
        <f>IF('Helper (Ignore)'!$E28&lt;'Helper (Ignore)'!$B$2+1,IF(ISEVEN(F28),0,1),"")</f>
        <v/>
      </c>
      <c r="H28">
        <f>INT(('Helper (Ignore)'!$E28-1)/H$2)+1</f>
        <v>13</v>
      </c>
      <c r="I28" t="str">
        <f>IF('Helper (Ignore)'!$E28&lt;'Helper (Ignore)'!$B$2+1,IF(ISEVEN(H28),0,1),"")</f>
        <v/>
      </c>
      <c r="J28">
        <f>INT(('Helper (Ignore)'!$E28-1)/J$2)+1</f>
        <v>25</v>
      </c>
      <c r="K28" t="str">
        <f>IF('Helper (Ignore)'!$E28&lt;'Helper (Ignore)'!$B$2+1,IF(ISEVEN(J28),0,1),"")</f>
        <v/>
      </c>
      <c r="L28">
        <f>INT(('Helper (Ignore)'!$E28-1)/L$2)+1</f>
        <v>49</v>
      </c>
      <c r="M28" t="str">
        <f>IF('Helper (Ignore)'!$E28&lt;'Helper (Ignore)'!$B$2+1,IF(ISEVEN(L28),0,1),"")</f>
        <v/>
      </c>
      <c r="N28">
        <f>INT(('Helper (Ignore)'!$E28-1)/N$2)+1</f>
        <v>97</v>
      </c>
      <c r="O28" t="str">
        <f>IF('Helper (Ignore)'!$E28&lt;'Helper (Ignore)'!$B$2+1,IF(ISEVEN(N28),0,1),"")</f>
        <v/>
      </c>
    </row>
    <row r="29" spans="5:15" x14ac:dyDescent="0.2">
      <c r="E29">
        <v>26</v>
      </c>
      <c r="F29">
        <f>INT(('Helper (Ignore)'!$E29-1)/'Helper (Ignore)'!C$2)+1</f>
        <v>7</v>
      </c>
      <c r="G29" t="str">
        <f>IF('Helper (Ignore)'!$E29&lt;'Helper (Ignore)'!$B$2+1,IF(ISEVEN(F29),0,1),"")</f>
        <v/>
      </c>
      <c r="H29">
        <f>INT(('Helper (Ignore)'!$E29-1)/H$2)+1</f>
        <v>13</v>
      </c>
      <c r="I29" t="str">
        <f>IF('Helper (Ignore)'!$E29&lt;'Helper (Ignore)'!$B$2+1,IF(ISEVEN(H29),0,1),"")</f>
        <v/>
      </c>
      <c r="J29">
        <f>INT(('Helper (Ignore)'!$E29-1)/J$2)+1</f>
        <v>26</v>
      </c>
      <c r="K29" t="str">
        <f>IF('Helper (Ignore)'!$E29&lt;'Helper (Ignore)'!$B$2+1,IF(ISEVEN(J29),0,1),"")</f>
        <v/>
      </c>
      <c r="L29">
        <f>INT(('Helper (Ignore)'!$E29-1)/L$2)+1</f>
        <v>51</v>
      </c>
      <c r="M29" t="str">
        <f>IF('Helper (Ignore)'!$E29&lt;'Helper (Ignore)'!$B$2+1,IF(ISEVEN(L29),0,1),"")</f>
        <v/>
      </c>
      <c r="N29">
        <f>INT(('Helper (Ignore)'!$E29-1)/N$2)+1</f>
        <v>101</v>
      </c>
      <c r="O29" t="str">
        <f>IF('Helper (Ignore)'!$E29&lt;'Helper (Ignore)'!$B$2+1,IF(ISEVEN(N29),0,1),"")</f>
        <v/>
      </c>
    </row>
    <row r="30" spans="5:15" x14ac:dyDescent="0.2">
      <c r="E30">
        <v>27</v>
      </c>
      <c r="F30">
        <f>INT(('Helper (Ignore)'!$E30-1)/'Helper (Ignore)'!C$2)+1</f>
        <v>7</v>
      </c>
      <c r="G30" t="str">
        <f>IF('Helper (Ignore)'!$E30&lt;'Helper (Ignore)'!$B$2+1,IF(ISEVEN(F30),0,1),"")</f>
        <v/>
      </c>
      <c r="H30">
        <f>INT(('Helper (Ignore)'!$E30-1)/H$2)+1</f>
        <v>14</v>
      </c>
      <c r="I30" t="str">
        <f>IF('Helper (Ignore)'!$E30&lt;'Helper (Ignore)'!$B$2+1,IF(ISEVEN(H30),0,1),"")</f>
        <v/>
      </c>
      <c r="J30">
        <f>INT(('Helper (Ignore)'!$E30-1)/J$2)+1</f>
        <v>27</v>
      </c>
      <c r="K30" t="str">
        <f>IF('Helper (Ignore)'!$E30&lt;'Helper (Ignore)'!$B$2+1,IF(ISEVEN(J30),0,1),"")</f>
        <v/>
      </c>
      <c r="L30">
        <f>INT(('Helper (Ignore)'!$E30-1)/L$2)+1</f>
        <v>53</v>
      </c>
      <c r="M30" t="str">
        <f>IF('Helper (Ignore)'!$E30&lt;'Helper (Ignore)'!$B$2+1,IF(ISEVEN(L30),0,1),"")</f>
        <v/>
      </c>
      <c r="N30">
        <f>INT(('Helper (Ignore)'!$E30-1)/N$2)+1</f>
        <v>105</v>
      </c>
      <c r="O30" t="str">
        <f>IF('Helper (Ignore)'!$E30&lt;'Helper (Ignore)'!$B$2+1,IF(ISEVEN(N30),0,1),"")</f>
        <v/>
      </c>
    </row>
    <row r="31" spans="5:15" x14ac:dyDescent="0.2">
      <c r="E31">
        <v>28</v>
      </c>
      <c r="F31">
        <f>INT(('Helper (Ignore)'!$E31-1)/'Helper (Ignore)'!C$2)+1</f>
        <v>7</v>
      </c>
      <c r="G31" t="str">
        <f>IF('Helper (Ignore)'!$E31&lt;'Helper (Ignore)'!$B$2+1,IF(ISEVEN(F31),0,1),"")</f>
        <v/>
      </c>
      <c r="H31">
        <f>INT(('Helper (Ignore)'!$E31-1)/H$2)+1</f>
        <v>14</v>
      </c>
      <c r="I31" t="str">
        <f>IF('Helper (Ignore)'!$E31&lt;'Helper (Ignore)'!$B$2+1,IF(ISEVEN(H31),0,1),"")</f>
        <v/>
      </c>
      <c r="J31">
        <f>INT(('Helper (Ignore)'!$E31-1)/J$2)+1</f>
        <v>28</v>
      </c>
      <c r="K31" t="str">
        <f>IF('Helper (Ignore)'!$E31&lt;'Helper (Ignore)'!$B$2+1,IF(ISEVEN(J31),0,1),"")</f>
        <v/>
      </c>
      <c r="L31">
        <f>INT(('Helper (Ignore)'!$E31-1)/L$2)+1</f>
        <v>55</v>
      </c>
      <c r="M31" t="str">
        <f>IF('Helper (Ignore)'!$E31&lt;'Helper (Ignore)'!$B$2+1,IF(ISEVEN(L31),0,1),"")</f>
        <v/>
      </c>
      <c r="N31">
        <f>INT(('Helper (Ignore)'!$E31-1)/N$2)+1</f>
        <v>109</v>
      </c>
      <c r="O31" t="str">
        <f>IF('Helper (Ignore)'!$E31&lt;'Helper (Ignore)'!$B$2+1,IF(ISEVEN(N31),0,1),"")</f>
        <v/>
      </c>
    </row>
    <row r="32" spans="5:15" x14ac:dyDescent="0.2">
      <c r="E32">
        <v>29</v>
      </c>
      <c r="F32">
        <f>INT(('Helper (Ignore)'!$E32-1)/'Helper (Ignore)'!C$2)+1</f>
        <v>8</v>
      </c>
      <c r="G32" t="str">
        <f>IF('Helper (Ignore)'!$E32&lt;'Helper (Ignore)'!$B$2+1,IF(ISEVEN(F32),0,1),"")</f>
        <v/>
      </c>
      <c r="H32">
        <f>INT(('Helper (Ignore)'!$E32-1)/H$2)+1</f>
        <v>15</v>
      </c>
      <c r="I32" t="str">
        <f>IF('Helper (Ignore)'!$E32&lt;'Helper (Ignore)'!$B$2+1,IF(ISEVEN(H32),0,1),"")</f>
        <v/>
      </c>
      <c r="J32">
        <f>INT(('Helper (Ignore)'!$E32-1)/J$2)+1</f>
        <v>29</v>
      </c>
      <c r="K32" t="str">
        <f>IF('Helper (Ignore)'!$E32&lt;'Helper (Ignore)'!$B$2+1,IF(ISEVEN(J32),0,1),"")</f>
        <v/>
      </c>
      <c r="L32">
        <f>INT(('Helper (Ignore)'!$E32-1)/L$2)+1</f>
        <v>57</v>
      </c>
      <c r="M32" t="str">
        <f>IF('Helper (Ignore)'!$E32&lt;'Helper (Ignore)'!$B$2+1,IF(ISEVEN(L32),0,1),"")</f>
        <v/>
      </c>
      <c r="N32">
        <f>INT(('Helper (Ignore)'!$E32-1)/N$2)+1</f>
        <v>113</v>
      </c>
      <c r="O32" t="str">
        <f>IF('Helper (Ignore)'!$E32&lt;'Helper (Ignore)'!$B$2+1,IF(ISEVEN(N32),0,1),"")</f>
        <v/>
      </c>
    </row>
    <row r="33" spans="5:15" x14ac:dyDescent="0.2">
      <c r="E33">
        <v>30</v>
      </c>
      <c r="F33">
        <f>INT(('Helper (Ignore)'!$E33-1)/'Helper (Ignore)'!C$2)+1</f>
        <v>8</v>
      </c>
      <c r="G33" t="str">
        <f>IF('Helper (Ignore)'!$E33&lt;'Helper (Ignore)'!$B$2+1,IF(ISEVEN(F33),0,1),"")</f>
        <v/>
      </c>
      <c r="H33">
        <f>INT(('Helper (Ignore)'!$E33-1)/H$2)+1</f>
        <v>15</v>
      </c>
      <c r="I33" t="str">
        <f>IF('Helper (Ignore)'!$E33&lt;'Helper (Ignore)'!$B$2+1,IF(ISEVEN(H33),0,1),"")</f>
        <v/>
      </c>
      <c r="J33">
        <f>INT(('Helper (Ignore)'!$E33-1)/J$2)+1</f>
        <v>30</v>
      </c>
      <c r="K33" t="str">
        <f>IF('Helper (Ignore)'!$E33&lt;'Helper (Ignore)'!$B$2+1,IF(ISEVEN(J33),0,1),"")</f>
        <v/>
      </c>
      <c r="L33">
        <f>INT(('Helper (Ignore)'!$E33-1)/L$2)+1</f>
        <v>59</v>
      </c>
      <c r="M33" t="str">
        <f>IF('Helper (Ignore)'!$E33&lt;'Helper (Ignore)'!$B$2+1,IF(ISEVEN(L33),0,1),"")</f>
        <v/>
      </c>
      <c r="N33">
        <f>INT(('Helper (Ignore)'!$E33-1)/N$2)+1</f>
        <v>117</v>
      </c>
      <c r="O33" t="str">
        <f>IF('Helper (Ignore)'!$E33&lt;'Helper (Ignore)'!$B$2+1,IF(ISEVEN(N33),0,1),"")</f>
        <v/>
      </c>
    </row>
    <row r="34" spans="5:15" x14ac:dyDescent="0.2">
      <c r="E34">
        <v>31</v>
      </c>
      <c r="F34">
        <f>INT(('Helper (Ignore)'!$E34-1)/'Helper (Ignore)'!C$2)+1</f>
        <v>8</v>
      </c>
      <c r="G34" t="str">
        <f>IF('Helper (Ignore)'!$E34&lt;'Helper (Ignore)'!$B$2+1,IF(ISEVEN(F34),0,1),"")</f>
        <v/>
      </c>
      <c r="H34">
        <f>INT(('Helper (Ignore)'!$E34-1)/H$2)+1</f>
        <v>16</v>
      </c>
      <c r="I34" t="str">
        <f>IF('Helper (Ignore)'!$E34&lt;'Helper (Ignore)'!$B$2+1,IF(ISEVEN(H34),0,1),"")</f>
        <v/>
      </c>
      <c r="J34">
        <f>INT(('Helper (Ignore)'!$E34-1)/J$2)+1</f>
        <v>31</v>
      </c>
      <c r="K34" t="str">
        <f>IF('Helper (Ignore)'!$E34&lt;'Helper (Ignore)'!$B$2+1,IF(ISEVEN(J34),0,1),"")</f>
        <v/>
      </c>
      <c r="L34">
        <f>INT(('Helper (Ignore)'!$E34-1)/L$2)+1</f>
        <v>61</v>
      </c>
      <c r="M34" t="str">
        <f>IF('Helper (Ignore)'!$E34&lt;'Helper (Ignore)'!$B$2+1,IF(ISEVEN(L34),0,1),"")</f>
        <v/>
      </c>
      <c r="N34">
        <f>INT(('Helper (Ignore)'!$E34-1)/N$2)+1</f>
        <v>121</v>
      </c>
      <c r="O34" t="str">
        <f>IF('Helper (Ignore)'!$E34&lt;'Helper (Ignore)'!$B$2+1,IF(ISEVEN(N34),0,1),"")</f>
        <v/>
      </c>
    </row>
    <row r="35" spans="5:15" x14ac:dyDescent="0.2">
      <c r="E35">
        <v>32</v>
      </c>
      <c r="F35">
        <f>INT(('Helper (Ignore)'!$E35-1)/'Helper (Ignore)'!C$2)+1</f>
        <v>8</v>
      </c>
      <c r="G35" t="str">
        <f>IF('Helper (Ignore)'!$E35&lt;'Helper (Ignore)'!$B$2+1,IF(ISEVEN(F35),0,1),"")</f>
        <v/>
      </c>
      <c r="H35">
        <f>INT(('Helper (Ignore)'!$E35-1)/H$2)+1</f>
        <v>16</v>
      </c>
      <c r="I35" t="str">
        <f>IF('Helper (Ignore)'!$E35&lt;'Helper (Ignore)'!$B$2+1,IF(ISEVEN(H35),0,1),"")</f>
        <v/>
      </c>
      <c r="J35">
        <f>INT(('Helper (Ignore)'!$E35-1)/J$2)+1</f>
        <v>32</v>
      </c>
      <c r="K35" t="str">
        <f>IF('Helper (Ignore)'!$E35&lt;'Helper (Ignore)'!$B$2+1,IF(ISEVEN(J35),0,1),"")</f>
        <v/>
      </c>
      <c r="L35">
        <f>INT(('Helper (Ignore)'!$E35-1)/L$2)+1</f>
        <v>63</v>
      </c>
      <c r="M35" t="str">
        <f>IF('Helper (Ignore)'!$E35&lt;'Helper (Ignore)'!$B$2+1,IF(ISEVEN(L35),0,1),"")</f>
        <v/>
      </c>
      <c r="N35">
        <f>INT(('Helper (Ignore)'!$E35-1)/N$2)+1</f>
        <v>125</v>
      </c>
      <c r="O35" t="str">
        <f>IF('Helper (Ignore)'!$E35&lt;'Helper (Ignore)'!$B$2+1,IF(ISEVEN(N35),0,1),"")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Demo</vt:lpstr>
      <vt:lpstr>Truth Table</vt:lpstr>
      <vt:lpstr>Helper (Ignore)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2022-02-09T19:20:59Z</dcterms:created>
  <dcterms:modified xsi:type="dcterms:W3CDTF">2022-02-18T17:09:11Z</dcterms:modified>
</cp:coreProperties>
</file>