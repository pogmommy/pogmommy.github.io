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ahgomez\Documents\GitHub\pogmom.github.io\downloads\excel\"/>
    </mc:Choice>
  </mc:AlternateContent>
  <xr:revisionPtr revIDLastSave="0" documentId="13_ncr:1_{6266D25E-7CF0-4B7C-9C64-8EA206BCF473}" xr6:coauthVersionLast="47" xr6:coauthVersionMax="47" xr10:uidLastSave="{00000000-0000-0000-0000-000000000000}"/>
  <bookViews>
    <workbookView xWindow="-120" yWindow="-120" windowWidth="29040" windowHeight="15840" firstSheet="1" activeTab="1" xr2:uid="{4A5CF77A-64B6-414E-9F9D-22EB65E85DCC}"/>
  </bookViews>
  <sheets>
    <sheet name="Data" sheetId="1" state="hidden" r:id="rId1"/>
    <sheet name="Cookies" sheetId="2" r:id="rId2"/>
    <sheet name="Instruction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4" i="2" l="1"/>
  <c r="J13" i="2"/>
  <c r="J12" i="2"/>
  <c r="J11" i="2"/>
  <c r="J10" i="2"/>
  <c r="J9" i="2"/>
  <c r="J8" i="2"/>
  <c r="J7" i="2"/>
  <c r="J6" i="2"/>
  <c r="J5" i="2"/>
  <c r="G2" i="2"/>
  <c r="F6" i="1"/>
  <c r="F7" i="1"/>
  <c r="F8" i="1"/>
  <c r="F9" i="1"/>
  <c r="F10" i="1"/>
  <c r="F11" i="1"/>
  <c r="F12" i="1"/>
  <c r="F13" i="1"/>
  <c r="F14" i="1"/>
  <c r="F5" i="1"/>
  <c r="D9" i="2" a="1"/>
  <c r="D9" i="2" s="1"/>
  <c r="D6" i="2" a="1"/>
  <c r="D6" i="2" s="1"/>
  <c r="D7" i="2" a="1"/>
  <c r="D7" i="2" s="1"/>
  <c r="D10" i="2" a="1"/>
  <c r="D10" i="2" s="1"/>
  <c r="D11" i="2" a="1"/>
  <c r="D11" i="2" s="1"/>
  <c r="D12" i="2" a="1"/>
  <c r="D12" i="2" s="1"/>
  <c r="D13" i="2" a="1"/>
  <c r="D13" i="2" s="1"/>
  <c r="D14" i="2" a="1"/>
  <c r="D14" i="2" s="1"/>
  <c r="D5" i="2" a="1"/>
  <c r="D5" i="2" s="1"/>
  <c r="E6" i="1" l="1"/>
  <c r="E6" i="2" s="1"/>
  <c r="C12" i="1"/>
  <c r="C11" i="1"/>
  <c r="C9" i="1"/>
  <c r="F6" i="2" l="1"/>
  <c r="K6" i="2" s="1"/>
  <c r="H6" i="2"/>
  <c r="E8" i="1"/>
  <c r="E8" i="2" s="1"/>
  <c r="E9" i="1"/>
  <c r="E9" i="2" s="1"/>
  <c r="E10" i="1"/>
  <c r="E10" i="2" s="1"/>
  <c r="E11" i="1"/>
  <c r="E11" i="2" s="1"/>
  <c r="E12" i="1"/>
  <c r="E12" i="2" s="1"/>
  <c r="E13" i="1"/>
  <c r="E13" i="2" s="1"/>
  <c r="E14" i="1"/>
  <c r="E14" i="2" s="1"/>
  <c r="E5" i="1"/>
  <c r="E5" i="2" s="1"/>
  <c r="F5" i="2" s="1"/>
  <c r="C7" i="1"/>
  <c r="E7" i="1" s="1"/>
  <c r="E7" i="2" s="1"/>
  <c r="F8" i="2" l="1"/>
  <c r="H8" i="2"/>
  <c r="F7" i="2"/>
  <c r="K7" i="2" s="1"/>
  <c r="H7" i="2"/>
  <c r="F14" i="2"/>
  <c r="K14" i="2" s="1"/>
  <c r="H14" i="2"/>
  <c r="F13" i="2"/>
  <c r="K13" i="2" s="1"/>
  <c r="H13" i="2"/>
  <c r="F12" i="2"/>
  <c r="K12" i="2" s="1"/>
  <c r="H12" i="2"/>
  <c r="F11" i="2"/>
  <c r="K11" i="2" s="1"/>
  <c r="H11" i="2"/>
  <c r="F9" i="2"/>
  <c r="K9" i="2" s="1"/>
  <c r="H9" i="2"/>
  <c r="K5" i="2"/>
  <c r="H5" i="2"/>
  <c r="F10" i="2"/>
  <c r="K10" i="2" s="1"/>
  <c r="H1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<sst xmlns="http://schemas.openxmlformats.org/spreadsheetml/2006/main" count="88" uniqueCount="55">
  <si>
    <t>Ingredients</t>
  </si>
  <si>
    <t>Base Amount</t>
  </si>
  <si>
    <t>Multiplied Amount</t>
  </si>
  <si>
    <t>Multiplier:</t>
  </si>
  <si>
    <t>Butter</t>
  </si>
  <si>
    <t>Brown Sugar</t>
  </si>
  <si>
    <t>Sugar</t>
  </si>
  <si>
    <t>Egg</t>
  </si>
  <si>
    <t>Flour</t>
  </si>
  <si>
    <t>Vanilla extract</t>
  </si>
  <si>
    <t>Cornstarch</t>
  </si>
  <si>
    <t>Baking Soda</t>
  </si>
  <si>
    <t>Salt</t>
  </si>
  <si>
    <t>Chocolate chips</t>
  </si>
  <si>
    <t>Unit</t>
  </si>
  <si>
    <t>Cup</t>
  </si>
  <si>
    <t>Amount Added</t>
  </si>
  <si>
    <t>Amount Left</t>
  </si>
  <si>
    <t>Tbsp</t>
  </si>
  <si>
    <t>Tsp</t>
  </si>
  <si>
    <t>Possible Units</t>
  </si>
  <si>
    <t>Tablespoon</t>
  </si>
  <si>
    <t>Fluid Ounce</t>
  </si>
  <si>
    <t>Gallon</t>
  </si>
  <si>
    <t>Pint</t>
  </si>
  <si>
    <t>Quart</t>
  </si>
  <si>
    <t>Teaspoon</t>
  </si>
  <si>
    <t>Milliliter</t>
  </si>
  <si>
    <t>Liter</t>
  </si>
  <si>
    <t>Deciliter</t>
  </si>
  <si>
    <t>Volume</t>
  </si>
  <si>
    <t>IMPERIAL</t>
  </si>
  <si>
    <t>METRIC</t>
  </si>
  <si>
    <t>tsp</t>
  </si>
  <si>
    <t>oz</t>
  </si>
  <si>
    <t>cup</t>
  </si>
  <si>
    <t>us_pt</t>
  </si>
  <si>
    <t>qt</t>
  </si>
  <si>
    <t>gal</t>
  </si>
  <si>
    <t>ml</t>
  </si>
  <si>
    <t>l</t>
  </si>
  <si>
    <t>dl</t>
  </si>
  <si>
    <t>Amount Needed</t>
  </si>
  <si>
    <t>tbs</t>
  </si>
  <si>
    <t>Denominator</t>
  </si>
  <si>
    <t>Add 1 Unit of Ingredient</t>
  </si>
  <si>
    <t>Add 1 Fraction of Ingredient</t>
  </si>
  <si>
    <t>Notes:</t>
  </si>
  <si>
    <t>Butter should be at room temperature. Can be softened in microwave, but avoid melting.</t>
  </si>
  <si>
    <t>Mix ingredients together in the order the ingredients are listed. By the end of each color section, make sure ingredients are thoroughly mixed.</t>
  </si>
  <si>
    <t>Flour should be mixed in slowly , attempt to mix other ingredients together only once the full amount has been added.</t>
  </si>
  <si>
    <t>Pour vanilla extract over mixing bowl, don't worry about spilling extra vanilla into bowl. Typically makes for better cookies if you do.</t>
  </si>
  <si>
    <t>Chocolate chips have a measurement, but it's more reliable to eyeball them. Also, use whichever type of chocolate chip you prefer. I like doing a mix of milk and semi-sweet chocolate chips.</t>
  </si>
  <si>
    <t>Bake cookies on a cookie sheet with a silicon liner</t>
  </si>
  <si>
    <r>
      <t xml:space="preserve">Bake cookies at </t>
    </r>
    <r>
      <rPr>
        <b/>
        <sz val="12"/>
        <color theme="1"/>
        <rFont val="Calibri"/>
        <family val="2"/>
        <scheme val="minor"/>
      </rPr>
      <t>365</t>
    </r>
    <r>
      <rPr>
        <b/>
        <sz val="12"/>
        <color theme="1"/>
        <rFont val="Calibri"/>
        <family val="2"/>
      </rPr>
      <t>°F (185°C) for 6 minutes</t>
    </r>
    <r>
      <rPr>
        <sz val="12"/>
        <color theme="1"/>
        <rFont val="Calibri"/>
        <family val="2"/>
      </rPr>
      <t xml:space="preserve">. After that time is up, </t>
    </r>
    <r>
      <rPr>
        <b/>
        <sz val="12"/>
        <color theme="1"/>
        <rFont val="Calibri"/>
        <family val="2"/>
      </rPr>
      <t>check every 1 minute until cookies are golden-brown around edges</t>
    </r>
    <r>
      <rPr>
        <sz val="12"/>
        <color theme="1"/>
        <rFont val="Calibri"/>
        <family val="2"/>
      </rPr>
      <t>. Remove and let cool on tray for about 5 minutes.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</si>
</sst>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141414"/>
      <name val="Segoe UI"/>
      <family val="2"/>
    </font>
    <font>
      <u/>
      <sz val="12"/>
      <color theme="1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 style="thick">
        <color theme="0" tint="-0.49998474074526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6" borderId="0" xfId="0" applyFill="1"/>
    <xf numFmtId="0" fontId="0" fillId="5" borderId="0" xfId="0" applyFill="1"/>
    <xf numFmtId="0" fontId="0" fillId="4" borderId="0" xfId="0" applyFill="1"/>
    <xf numFmtId="0" fontId="0" fillId="4" borderId="7" xfId="0" applyFill="1" applyBorder="1"/>
    <xf numFmtId="0" fontId="0" fillId="10" borderId="9" xfId="0" applyFill="1" applyBorder="1"/>
    <xf numFmtId="0" fontId="0" fillId="8" borderId="1" xfId="0" applyFill="1" applyBorder="1"/>
    <xf numFmtId="0" fontId="0" fillId="9" borderId="2" xfId="0" applyFill="1" applyBorder="1"/>
    <xf numFmtId="0" fontId="0" fillId="9" borderId="3" xfId="0" applyFill="1" applyBorder="1"/>
    <xf numFmtId="0" fontId="0" fillId="7" borderId="4" xfId="0" applyFill="1" applyBorder="1"/>
    <xf numFmtId="2" fontId="0" fillId="6" borderId="0" xfId="0" applyNumberFormat="1" applyFill="1"/>
    <xf numFmtId="0" fontId="0" fillId="2" borderId="4" xfId="0" applyFill="1" applyBorder="1"/>
    <xf numFmtId="2" fontId="0" fillId="5" borderId="0" xfId="0" applyNumberFormat="1" applyFill="1"/>
    <xf numFmtId="0" fontId="0" fillId="3" borderId="4" xfId="0" applyFill="1" applyBorder="1"/>
    <xf numFmtId="2" fontId="0" fillId="4" borderId="0" xfId="0" applyNumberFormat="1" applyFill="1"/>
    <xf numFmtId="0" fontId="0" fillId="3" borderId="6" xfId="0" applyFill="1" applyBorder="1"/>
    <xf numFmtId="2" fontId="0" fillId="4" borderId="7" xfId="0" applyNumberForma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0" borderId="0" xfId="0" applyFont="1"/>
    <xf numFmtId="0" fontId="0" fillId="6" borderId="5" xfId="0" applyFill="1" applyBorder="1"/>
    <xf numFmtId="0" fontId="0" fillId="5" borderId="5" xfId="0" applyFill="1" applyBorder="1"/>
    <xf numFmtId="0" fontId="0" fillId="4" borderId="5" xfId="0" applyFill="1" applyBorder="1"/>
    <xf numFmtId="0" fontId="0" fillId="4" borderId="8" xfId="0" applyFill="1" applyBorder="1"/>
    <xf numFmtId="12" fontId="0" fillId="5" borderId="0" xfId="0" applyNumberFormat="1" applyFill="1"/>
    <xf numFmtId="12" fontId="0" fillId="6" borderId="0" xfId="0" applyNumberFormat="1" applyFill="1"/>
    <xf numFmtId="12" fontId="0" fillId="4" borderId="0" xfId="0" applyNumberFormat="1" applyFill="1"/>
    <xf numFmtId="12" fontId="0" fillId="4" borderId="7" xfId="0" applyNumberFormat="1" applyFill="1" applyBorder="1"/>
    <xf numFmtId="0" fontId="2" fillId="0" borderId="0" xfId="0" applyFont="1"/>
    <xf numFmtId="12" fontId="0" fillId="6" borderId="5" xfId="0" applyNumberFormat="1" applyFill="1" applyBorder="1"/>
    <xf numFmtId="12" fontId="0" fillId="5" borderId="5" xfId="0" applyNumberFormat="1" applyFill="1" applyBorder="1"/>
    <xf numFmtId="12" fontId="0" fillId="4" borderId="5" xfId="0" applyNumberFormat="1" applyFill="1" applyBorder="1"/>
    <xf numFmtId="12" fontId="0" fillId="4" borderId="8" xfId="0" applyNumberFormat="1" applyFill="1" applyBorder="1"/>
    <xf numFmtId="0" fontId="4" fillId="12" borderId="14" xfId="1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0" xfId="0" applyFill="1" applyBorder="1" applyProtection="1">
      <protection locked="0"/>
    </xf>
    <xf numFmtId="12" fontId="0" fillId="6" borderId="0" xfId="0" applyNumberFormat="1" applyFill="1" applyProtection="1">
      <protection locked="0"/>
    </xf>
    <xf numFmtId="12" fontId="0" fillId="5" borderId="0" xfId="0" applyNumberFormat="1" applyFill="1" applyProtection="1">
      <protection locked="0"/>
    </xf>
    <xf numFmtId="12" fontId="0" fillId="4" borderId="0" xfId="0" applyNumberFormat="1" applyFill="1" applyProtection="1">
      <protection locked="0"/>
    </xf>
    <xf numFmtId="12" fontId="0" fillId="4" borderId="7" xfId="0" applyNumberFormat="1" applyFill="1" applyBorder="1" applyProtection="1">
      <protection locked="0"/>
    </xf>
    <xf numFmtId="0" fontId="0" fillId="6" borderId="0" xfId="0" applyFill="1" applyProtection="1">
      <protection locked="0"/>
    </xf>
    <xf numFmtId="0" fontId="0" fillId="5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4" borderId="7" xfId="0" applyFill="1" applyBorder="1" applyProtection="1">
      <protection locked="0"/>
    </xf>
    <xf numFmtId="0" fontId="4" fillId="12" borderId="14" xfId="1" applyFont="1" applyFill="1" applyBorder="1" applyAlignment="1" applyProtection="1">
      <alignment horizontal="center"/>
      <protection locked="0"/>
    </xf>
    <xf numFmtId="0" fontId="4" fillId="12" borderId="16" xfId="1" applyFont="1" applyFill="1" applyBorder="1" applyAlignment="1" applyProtection="1">
      <alignment horizontal="center"/>
      <protection locked="0"/>
    </xf>
    <xf numFmtId="0" fontId="5" fillId="0" borderId="5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ill>
        <patternFill patternType="none">
          <bgColor auto="1"/>
        </patternFill>
      </fill>
      <border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795D0-AFF2-4D41-9D9D-6D9A197C35CF}">
  <sheetPr codeName="Sheet1"/>
  <dimension ref="B3:F29"/>
  <sheetViews>
    <sheetView zoomScale="115" zoomScaleNormal="115" workbookViewId="0">
      <selection activeCell="C20" sqref="C20"/>
    </sheetView>
  </sheetViews>
  <sheetFormatPr defaultColWidth="11" defaultRowHeight="15.75" x14ac:dyDescent="0.25"/>
  <cols>
    <col min="2" max="2" width="13.875" bestFit="1" customWidth="1"/>
    <col min="3" max="3" width="12.125" bestFit="1" customWidth="1"/>
    <col min="4" max="4" width="4.625" bestFit="1" customWidth="1"/>
    <col min="5" max="5" width="16.625" bestFit="1" customWidth="1"/>
    <col min="6" max="6" width="4.625" bestFit="1" customWidth="1"/>
  </cols>
  <sheetData>
    <row r="3" spans="2:6" ht="16.5" thickBot="1" x14ac:dyDescent="0.3"/>
    <row r="4" spans="2:6" x14ac:dyDescent="0.25">
      <c r="B4" s="6" t="s">
        <v>0</v>
      </c>
      <c r="C4" s="7" t="s">
        <v>1</v>
      </c>
      <c r="D4" s="7" t="s">
        <v>14</v>
      </c>
      <c r="E4" s="7" t="s">
        <v>2</v>
      </c>
      <c r="F4" s="8" t="s">
        <v>14</v>
      </c>
    </row>
    <row r="5" spans="2:6" x14ac:dyDescent="0.25">
      <c r="B5" s="9" t="s">
        <v>4</v>
      </c>
      <c r="C5" s="1">
        <v>0.5</v>
      </c>
      <c r="D5" s="1" t="s">
        <v>15</v>
      </c>
      <c r="E5" s="10">
        <f>C5*Cookies!$C$2</f>
        <v>0.5</v>
      </c>
      <c r="F5" s="21" t="str">
        <f>D5</f>
        <v>Cup</v>
      </c>
    </row>
    <row r="6" spans="2:6" x14ac:dyDescent="0.25">
      <c r="B6" s="9" t="s">
        <v>5</v>
      </c>
      <c r="C6" s="1">
        <v>0.5</v>
      </c>
      <c r="D6" s="1" t="s">
        <v>15</v>
      </c>
      <c r="E6" s="10">
        <f>C6*Cookies!$C$2</f>
        <v>0.5</v>
      </c>
      <c r="F6" s="21" t="str">
        <f t="shared" ref="F6:F14" si="0">D6</f>
        <v>Cup</v>
      </c>
    </row>
    <row r="7" spans="2:6" x14ac:dyDescent="0.25">
      <c r="B7" s="9" t="s">
        <v>6</v>
      </c>
      <c r="C7" s="10">
        <f>1/3</f>
        <v>0.33333333333333331</v>
      </c>
      <c r="D7" s="1" t="s">
        <v>15</v>
      </c>
      <c r="E7" s="10">
        <f>C7*Cookies!$C$2</f>
        <v>0.33333333333333331</v>
      </c>
      <c r="F7" s="21" t="str">
        <f t="shared" si="0"/>
        <v>Cup</v>
      </c>
    </row>
    <row r="8" spans="2:6" x14ac:dyDescent="0.25">
      <c r="B8" s="11" t="s">
        <v>7</v>
      </c>
      <c r="C8" s="2">
        <v>1</v>
      </c>
      <c r="D8" s="2" t="s">
        <v>7</v>
      </c>
      <c r="E8" s="12">
        <f>C8*Cookies!$C$2</f>
        <v>1</v>
      </c>
      <c r="F8" s="22" t="str">
        <f t="shared" si="0"/>
        <v>Egg</v>
      </c>
    </row>
    <row r="9" spans="2:6" x14ac:dyDescent="0.25">
      <c r="B9" s="11" t="s">
        <v>9</v>
      </c>
      <c r="C9" s="12">
        <f>2/3</f>
        <v>0.66666666666666663</v>
      </c>
      <c r="D9" s="2" t="s">
        <v>18</v>
      </c>
      <c r="E9" s="12">
        <f>C9*Cookies!$C$2</f>
        <v>0.66666666666666663</v>
      </c>
      <c r="F9" s="22" t="str">
        <f t="shared" si="0"/>
        <v>Tbsp</v>
      </c>
    </row>
    <row r="10" spans="2:6" x14ac:dyDescent="0.25">
      <c r="B10" s="13" t="s">
        <v>8</v>
      </c>
      <c r="C10" s="3">
        <v>1.5</v>
      </c>
      <c r="D10" s="3" t="s">
        <v>15</v>
      </c>
      <c r="E10" s="14">
        <f>C10*Cookies!$C$2</f>
        <v>1.5</v>
      </c>
      <c r="F10" s="23" t="str">
        <f t="shared" si="0"/>
        <v>Cup</v>
      </c>
    </row>
    <row r="11" spans="2:6" x14ac:dyDescent="0.25">
      <c r="B11" s="13" t="s">
        <v>10</v>
      </c>
      <c r="C11" s="14">
        <f>2/3</f>
        <v>0.66666666666666663</v>
      </c>
      <c r="D11" s="3" t="s">
        <v>18</v>
      </c>
      <c r="E11" s="14">
        <f>C11*Cookies!$C$2</f>
        <v>0.66666666666666663</v>
      </c>
      <c r="F11" s="23" t="str">
        <f t="shared" si="0"/>
        <v>Tbsp</v>
      </c>
    </row>
    <row r="12" spans="2:6" x14ac:dyDescent="0.25">
      <c r="B12" s="13" t="s">
        <v>11</v>
      </c>
      <c r="C12" s="14">
        <f>1/3</f>
        <v>0.33333333333333331</v>
      </c>
      <c r="D12" s="3" t="s">
        <v>18</v>
      </c>
      <c r="E12" s="14">
        <f>C12*Cookies!$C$2</f>
        <v>0.33333333333333331</v>
      </c>
      <c r="F12" s="23" t="str">
        <f t="shared" si="0"/>
        <v>Tbsp</v>
      </c>
    </row>
    <row r="13" spans="2:6" x14ac:dyDescent="0.25">
      <c r="B13" s="13" t="s">
        <v>12</v>
      </c>
      <c r="C13" s="3">
        <v>0.25</v>
      </c>
      <c r="D13" s="3" t="s">
        <v>19</v>
      </c>
      <c r="E13" s="14">
        <f>C13*Cookies!$C$2</f>
        <v>0.25</v>
      </c>
      <c r="F13" s="23" t="str">
        <f t="shared" si="0"/>
        <v>Tsp</v>
      </c>
    </row>
    <row r="14" spans="2:6" ht="16.5" thickBot="1" x14ac:dyDescent="0.3">
      <c r="B14" s="15" t="s">
        <v>13</v>
      </c>
      <c r="C14" s="4">
        <v>1</v>
      </c>
      <c r="D14" s="4" t="s">
        <v>15</v>
      </c>
      <c r="E14" s="16">
        <f>C14*Cookies!$C$2</f>
        <v>1</v>
      </c>
      <c r="F14" s="24" t="str">
        <f t="shared" si="0"/>
        <v>Cup</v>
      </c>
    </row>
    <row r="16" spans="2:6" x14ac:dyDescent="0.25">
      <c r="B16" s="17" t="s">
        <v>20</v>
      </c>
      <c r="C16" s="17"/>
      <c r="D16" s="17"/>
    </row>
    <row r="17" spans="2:4" ht="16.5" thickBot="1" x14ac:dyDescent="0.3">
      <c r="B17" s="19" t="s">
        <v>30</v>
      </c>
      <c r="C17" s="18"/>
      <c r="D17" s="19" t="s">
        <v>7</v>
      </c>
    </row>
    <row r="18" spans="2:4" ht="16.5" thickTop="1" x14ac:dyDescent="0.25">
      <c r="B18" s="20" t="s">
        <v>31</v>
      </c>
      <c r="D18" t="s">
        <v>7</v>
      </c>
    </row>
    <row r="19" spans="2:4" x14ac:dyDescent="0.25">
      <c r="B19" t="s">
        <v>26</v>
      </c>
      <c r="C19" t="s">
        <v>33</v>
      </c>
    </row>
    <row r="20" spans="2:4" x14ac:dyDescent="0.25">
      <c r="B20" t="s">
        <v>21</v>
      </c>
      <c r="C20" t="s">
        <v>43</v>
      </c>
    </row>
    <row r="21" spans="2:4" x14ac:dyDescent="0.25">
      <c r="B21" t="s">
        <v>22</v>
      </c>
      <c r="C21" t="s">
        <v>34</v>
      </c>
    </row>
    <row r="22" spans="2:4" x14ac:dyDescent="0.25">
      <c r="B22" t="s">
        <v>15</v>
      </c>
      <c r="C22" t="s">
        <v>35</v>
      </c>
    </row>
    <row r="23" spans="2:4" x14ac:dyDescent="0.25">
      <c r="B23" t="s">
        <v>24</v>
      </c>
      <c r="C23" t="s">
        <v>36</v>
      </c>
    </row>
    <row r="24" spans="2:4" x14ac:dyDescent="0.25">
      <c r="B24" t="s">
        <v>25</v>
      </c>
      <c r="C24" t="s">
        <v>37</v>
      </c>
    </row>
    <row r="25" spans="2:4" x14ac:dyDescent="0.25">
      <c r="B25" t="s">
        <v>23</v>
      </c>
      <c r="C25" t="s">
        <v>38</v>
      </c>
    </row>
    <row r="26" spans="2:4" x14ac:dyDescent="0.25">
      <c r="B26" s="20" t="s">
        <v>32</v>
      </c>
    </row>
    <row r="27" spans="2:4" x14ac:dyDescent="0.25">
      <c r="B27" t="s">
        <v>27</v>
      </c>
      <c r="C27" t="s">
        <v>39</v>
      </c>
    </row>
    <row r="28" spans="2:4" x14ac:dyDescent="0.25">
      <c r="B28" t="s">
        <v>28</v>
      </c>
      <c r="C28" t="s">
        <v>40</v>
      </c>
    </row>
    <row r="29" spans="2:4" x14ac:dyDescent="0.25">
      <c r="B29" t="s">
        <v>29</v>
      </c>
      <c r="C29" t="s">
        <v>41</v>
      </c>
    </row>
  </sheetData>
  <sortState xmlns:xlrd2="http://schemas.microsoft.com/office/spreadsheetml/2017/richdata2" ref="B19:B25">
    <sortCondition ref="B2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043CB-66EB-4BD5-A349-213437B413A8}">
  <sheetPr codeName="Sheet2"/>
  <dimension ref="A1:K16"/>
  <sheetViews>
    <sheetView tabSelected="1" workbookViewId="0">
      <selection activeCell="C2" sqref="C2"/>
    </sheetView>
  </sheetViews>
  <sheetFormatPr defaultRowHeight="15.75" x14ac:dyDescent="0.25"/>
  <cols>
    <col min="1" max="1" width="1.75" bestFit="1" customWidth="1"/>
    <col min="2" max="2" width="13.875" bestFit="1" customWidth="1"/>
    <col min="3" max="3" width="12.875" customWidth="1"/>
    <col min="4" max="4" width="12.875" hidden="1" customWidth="1"/>
    <col min="5" max="5" width="14" bestFit="1" customWidth="1"/>
    <col min="6" max="6" width="14" hidden="1" customWidth="1"/>
    <col min="7" max="7" width="12.75" bestFit="1" customWidth="1"/>
    <col min="8" max="8" width="10.75" bestFit="1" customWidth="1"/>
    <col min="10" max="10" width="31.875" bestFit="1" customWidth="1"/>
    <col min="11" max="11" width="33.875" bestFit="1" customWidth="1"/>
  </cols>
  <sheetData>
    <row r="1" spans="1:11" ht="16.5" thickBot="1" x14ac:dyDescent="0.3"/>
    <row r="2" spans="1:11" ht="17.25" thickTop="1" thickBot="1" x14ac:dyDescent="0.3">
      <c r="B2" s="5" t="s">
        <v>3</v>
      </c>
      <c r="C2" s="36">
        <v>1</v>
      </c>
      <c r="G2" s="45" t="str">
        <f>HYPERLINK("#reset()", "Reset")</f>
        <v>Reset</v>
      </c>
    </row>
    <row r="3" spans="1:11" ht="16.5" thickBot="1" x14ac:dyDescent="0.3"/>
    <row r="4" spans="1:11" ht="16.5" thickBot="1" x14ac:dyDescent="0.3">
      <c r="B4" s="6" t="s">
        <v>0</v>
      </c>
      <c r="C4" s="7" t="s">
        <v>14</v>
      </c>
      <c r="D4" s="7"/>
      <c r="E4" s="7" t="s">
        <v>42</v>
      </c>
      <c r="F4" s="7" t="s">
        <v>44</v>
      </c>
      <c r="G4" s="7" t="s">
        <v>16</v>
      </c>
      <c r="H4" s="8" t="s">
        <v>17</v>
      </c>
      <c r="J4" s="35" t="s">
        <v>45</v>
      </c>
      <c r="K4" s="35" t="s">
        <v>46</v>
      </c>
    </row>
    <row r="5" spans="1:11" ht="17.25" thickTop="1" thickBot="1" x14ac:dyDescent="0.3">
      <c r="A5" s="47">
        <v>1</v>
      </c>
      <c r="B5" s="9" t="s">
        <v>4</v>
      </c>
      <c r="C5" s="41" t="s">
        <v>15</v>
      </c>
      <c r="D5" s="1" t="str" cm="1">
        <f t="array" ref="D5">INDEX(Data!$C$18:$C$29,_xlfn.XMATCH(Cookies!C5,Data!$B$18:$B$29),1)</f>
        <v>cup</v>
      </c>
      <c r="E5" s="26">
        <f>CONVERT(Data!E5,"cup",Cookies!D5)</f>
        <v>0.5</v>
      </c>
      <c r="F5" s="26" t="str">
        <f t="shared" ref="F5:F14" si="0">MID(TEXT(E5,"###/###"),SEARCH("/",TEXT(E5,"###/###"))+1,3)</f>
        <v>2</v>
      </c>
      <c r="G5" s="37">
        <v>0</v>
      </c>
      <c r="H5" s="30">
        <f>E5-G5</f>
        <v>0.5</v>
      </c>
      <c r="J5" s="46" t="str">
        <f>HYPERLINK("#oneUnitButter()",_xlfn.CONCAT("Add 1 ",C5," of ",B5))</f>
        <v>Add 1 Cup of Butter</v>
      </c>
      <c r="K5" s="45" t="str">
        <f>HYPERLINK("#oneFracButter()",IF(F5="1","", _xlfn.CONCAT("Add 1/",F5," ",C5," of ",B5)))</f>
        <v>Add 1/2 Cup of Butter</v>
      </c>
    </row>
    <row r="6" spans="1:11" ht="17.25" thickTop="1" thickBot="1" x14ac:dyDescent="0.3">
      <c r="A6" s="47"/>
      <c r="B6" s="9" t="s">
        <v>5</v>
      </c>
      <c r="C6" s="41" t="s">
        <v>15</v>
      </c>
      <c r="D6" s="1" t="str" cm="1">
        <f t="array" ref="D6">INDEX(Data!$C$18:$C$29,_xlfn.XMATCH(Cookies!C6,Data!$B$18:$B$29),1)</f>
        <v>cup</v>
      </c>
      <c r="E6" s="26">
        <f>CONVERT(Data!E6,"cup",Cookies!D6)</f>
        <v>0.5</v>
      </c>
      <c r="F6" s="26" t="str">
        <f t="shared" si="0"/>
        <v>2</v>
      </c>
      <c r="G6" s="37">
        <v>0</v>
      </c>
      <c r="H6" s="30">
        <f t="shared" ref="H6:H14" si="1">E6-G6</f>
        <v>0.5</v>
      </c>
      <c r="J6" s="45" t="str">
        <f>HYPERLINK("#oneUnitBSugar()",_xlfn.CONCAT("Add 1 ",C6," of ",B6))</f>
        <v>Add 1 Cup of Brown Sugar</v>
      </c>
      <c r="K6" s="45" t="str">
        <f>HYPERLINK("#oneFracBSugar()",IF(F6="1","", _xlfn.CONCAT("Add 1/",F6," ",C6," of ",B6)))</f>
        <v>Add 1/2 Cup of Brown Sugar</v>
      </c>
    </row>
    <row r="7" spans="1:11" ht="17.25" thickTop="1" thickBot="1" x14ac:dyDescent="0.3">
      <c r="A7" s="47"/>
      <c r="B7" s="9" t="s">
        <v>6</v>
      </c>
      <c r="C7" s="41" t="s">
        <v>15</v>
      </c>
      <c r="D7" s="1" t="str" cm="1">
        <f t="array" ref="D7">INDEX(Data!$C$18:$C$29,_xlfn.XMATCH(Cookies!C7,Data!$B$18:$B$29),1)</f>
        <v>cup</v>
      </c>
      <c r="E7" s="26">
        <f>CONVERT(Data!E7,"cup",Cookies!D7)</f>
        <v>0.33333333333333331</v>
      </c>
      <c r="F7" s="26" t="str">
        <f t="shared" si="0"/>
        <v>3</v>
      </c>
      <c r="G7" s="37">
        <v>0</v>
      </c>
      <c r="H7" s="30">
        <f t="shared" si="1"/>
        <v>0.33333333333333331</v>
      </c>
      <c r="J7" s="45" t="str">
        <f>HYPERLINK("#oneUnitWSugar()",_xlfn.CONCAT("Add 1 ",C7," of ",B7))</f>
        <v>Add 1 Cup of Sugar</v>
      </c>
      <c r="K7" s="45" t="str">
        <f>HYPERLINK("#oneFracWSugar()",IF(F7="1","", _xlfn.CONCAT("Add 1/",F7," ",C7," of ",B7)))</f>
        <v>Add 1/3 Cup of Sugar</v>
      </c>
    </row>
    <row r="8" spans="1:11" ht="17.25" thickTop="1" thickBot="1" x14ac:dyDescent="0.3">
      <c r="A8" s="47">
        <v>2</v>
      </c>
      <c r="B8" s="11" t="s">
        <v>7</v>
      </c>
      <c r="C8" s="42" t="s">
        <v>7</v>
      </c>
      <c r="D8" s="2"/>
      <c r="E8" s="25">
        <f>Data!E8</f>
        <v>1</v>
      </c>
      <c r="F8" s="25" t="str">
        <f t="shared" si="0"/>
        <v>1</v>
      </c>
      <c r="G8" s="38">
        <v>0</v>
      </c>
      <c r="H8" s="31">
        <f t="shared" si="1"/>
        <v>1</v>
      </c>
      <c r="J8" s="45" t="str">
        <f>HYPERLINK("#oneUnitEgg()", _xlfn.CONCAT("Add 1 ",C8," of ",B8))</f>
        <v>Add 1 Egg of Egg</v>
      </c>
      <c r="K8" s="34"/>
    </row>
    <row r="9" spans="1:11" ht="17.25" thickTop="1" thickBot="1" x14ac:dyDescent="0.3">
      <c r="A9" s="47"/>
      <c r="B9" s="11" t="s">
        <v>9</v>
      </c>
      <c r="C9" s="42" t="s">
        <v>21</v>
      </c>
      <c r="D9" s="2" t="str" cm="1">
        <f t="array" ref="D9">INDEX(Data!$C$18:$C$29,_xlfn.XMATCH(Cookies!C9,Data!$B$18:$B$29),1)</f>
        <v>tbs</v>
      </c>
      <c r="E9" s="25">
        <f>CONVERT(Data!E9,"tbs",Cookies!D9)</f>
        <v>0.66666666666666663</v>
      </c>
      <c r="F9" s="25" t="str">
        <f t="shared" si="0"/>
        <v>3</v>
      </c>
      <c r="G9" s="38">
        <v>0</v>
      </c>
      <c r="H9" s="31">
        <f t="shared" si="1"/>
        <v>0.66666666666666663</v>
      </c>
      <c r="J9" s="45" t="str">
        <f>HYPERLINK("#oneUnitVanilla()", _xlfn.CONCAT("Add 1 ",C9," of ",B9))</f>
        <v>Add 1 Tablespoon of Vanilla extract</v>
      </c>
      <c r="K9" s="45" t="str">
        <f>HYPERLINK("#oneFracVanilla()",IF(F9="1","", _xlfn.CONCAT("Add 1/",F9," ",C9," of ",B9)))</f>
        <v>Add 1/3 Tablespoon of Vanilla extract</v>
      </c>
    </row>
    <row r="10" spans="1:11" ht="17.25" thickTop="1" thickBot="1" x14ac:dyDescent="0.3">
      <c r="A10" s="47">
        <v>3</v>
      </c>
      <c r="B10" s="13" t="s">
        <v>8</v>
      </c>
      <c r="C10" s="43" t="s">
        <v>15</v>
      </c>
      <c r="D10" s="3" t="str" cm="1">
        <f t="array" ref="D10">INDEX(Data!$C$18:$C$29,_xlfn.XMATCH(Cookies!C10,Data!$B$18:$B$29),1)</f>
        <v>cup</v>
      </c>
      <c r="E10" s="27">
        <f>CONVERT(Data!E10,"cup",Cookies!D10)</f>
        <v>1.4999999999999998</v>
      </c>
      <c r="F10" s="27" t="str">
        <f t="shared" si="0"/>
        <v>2</v>
      </c>
      <c r="G10" s="39">
        <v>0</v>
      </c>
      <c r="H10" s="32">
        <f t="shared" si="1"/>
        <v>1.4999999999999998</v>
      </c>
      <c r="J10" s="45" t="str">
        <f>HYPERLINK("#oneUnitFlour()", _xlfn.CONCAT("Add 1 ",C10," of ",B10))</f>
        <v>Add 1 Cup of Flour</v>
      </c>
      <c r="K10" s="45" t="str">
        <f>HYPERLINK("#oneFracFlour()",IF(F10="1","", _xlfn.CONCAT("Add 1/",F10," ",C10," of ",B10)))</f>
        <v>Add 1/2 Cup of Flour</v>
      </c>
    </row>
    <row r="11" spans="1:11" ht="17.25" thickTop="1" thickBot="1" x14ac:dyDescent="0.3">
      <c r="A11" s="47"/>
      <c r="B11" s="13" t="s">
        <v>10</v>
      </c>
      <c r="C11" s="43" t="s">
        <v>21</v>
      </c>
      <c r="D11" s="3" t="str" cm="1">
        <f t="array" ref="D11">INDEX(Data!$C$18:$C$29,_xlfn.XMATCH(Cookies!C11,Data!$B$18:$B$29),1)</f>
        <v>tbs</v>
      </c>
      <c r="E11" s="27">
        <f>CONVERT(Data!E11,"tbs",Cookies!D11)</f>
        <v>0.66666666666666663</v>
      </c>
      <c r="F11" s="27" t="str">
        <f t="shared" si="0"/>
        <v>3</v>
      </c>
      <c r="G11" s="39">
        <v>0</v>
      </c>
      <c r="H11" s="32">
        <f t="shared" si="1"/>
        <v>0.66666666666666663</v>
      </c>
      <c r="J11" s="45" t="str">
        <f>HYPERLINK("#oneUnitCornstarch()", _xlfn.CONCAT("Add 1 ",C11," of ",B11))</f>
        <v>Add 1 Tablespoon of Cornstarch</v>
      </c>
      <c r="K11" s="45" t="str">
        <f>HYPERLINK("#oneFracCornstarch()",IF(F11="1","", _xlfn.CONCAT("Add 1/",F11," ",C11," of ",B11)))</f>
        <v>Add 1/3 Tablespoon of Cornstarch</v>
      </c>
    </row>
    <row r="12" spans="1:11" ht="17.25" thickTop="1" thickBot="1" x14ac:dyDescent="0.3">
      <c r="A12" s="47"/>
      <c r="B12" s="13" t="s">
        <v>11</v>
      </c>
      <c r="C12" s="43" t="s">
        <v>21</v>
      </c>
      <c r="D12" s="3" t="str" cm="1">
        <f t="array" ref="D12">INDEX(Data!$C$18:$C$29,_xlfn.XMATCH(Cookies!C12,Data!$B$18:$B$29),1)</f>
        <v>tbs</v>
      </c>
      <c r="E12" s="27">
        <f>CONVERT(Data!E12,"tbs",Cookies!D12)</f>
        <v>0.33333333333333331</v>
      </c>
      <c r="F12" s="27" t="str">
        <f t="shared" si="0"/>
        <v>3</v>
      </c>
      <c r="G12" s="39">
        <v>0</v>
      </c>
      <c r="H12" s="32">
        <f t="shared" si="1"/>
        <v>0.33333333333333331</v>
      </c>
      <c r="J12" s="45" t="str">
        <f>HYPERLINK("#oneUnitBakingSoda()", _xlfn.CONCAT("Add 1 ",C12," of ",B12))</f>
        <v>Add 1 Tablespoon of Baking Soda</v>
      </c>
      <c r="K12" s="45" t="str">
        <f>HYPERLINK("#oneFracBakingSoda()",IF(F12="1","", _xlfn.CONCAT("Add 1/",F12," ",C12," of ",B12)))</f>
        <v>Add 1/3 Tablespoon of Baking Soda</v>
      </c>
    </row>
    <row r="13" spans="1:11" ht="17.25" thickTop="1" thickBot="1" x14ac:dyDescent="0.3">
      <c r="A13" s="47"/>
      <c r="B13" s="13" t="s">
        <v>12</v>
      </c>
      <c r="C13" s="43" t="s">
        <v>26</v>
      </c>
      <c r="D13" s="3" t="str" cm="1">
        <f t="array" ref="D13">INDEX(Data!$C$18:$C$29,_xlfn.XMATCH(Cookies!C13,Data!$B$18:$B$29),1)</f>
        <v>tsp</v>
      </c>
      <c r="E13" s="27">
        <f>CONVERT(Data!E13,"tsp",Cookies!D13)</f>
        <v>0.25</v>
      </c>
      <c r="F13" s="27" t="str">
        <f t="shared" si="0"/>
        <v>4</v>
      </c>
      <c r="G13" s="39">
        <v>0</v>
      </c>
      <c r="H13" s="32">
        <f t="shared" si="1"/>
        <v>0.25</v>
      </c>
      <c r="J13" s="45" t="str">
        <f>HYPERLINK("#oneUnitSalt()",_xlfn.CONCAT("Add 1 ",C13," of ",B13))</f>
        <v>Add 1 Teaspoon of Salt</v>
      </c>
      <c r="K13" s="45" t="str">
        <f>HYPERLINK("#oneFracSalt()",IF(F13="1","", _xlfn.CONCAT("Add 1/",F13," ",C13," of ",B13)))</f>
        <v>Add 1/4 Teaspoon of Salt</v>
      </c>
    </row>
    <row r="14" spans="1:11" ht="17.25" thickTop="1" thickBot="1" x14ac:dyDescent="0.3">
      <c r="A14" s="47"/>
      <c r="B14" s="15" t="s">
        <v>13</v>
      </c>
      <c r="C14" s="44" t="s">
        <v>15</v>
      </c>
      <c r="D14" s="4" t="str" cm="1">
        <f t="array" ref="D14">INDEX(Data!$C$18:$C$29,_xlfn.XMATCH(Cookies!C14,Data!$B$18:$B$29),1)</f>
        <v>cup</v>
      </c>
      <c r="E14" s="28">
        <f>CONVERT(Data!E14,"cup",Cookies!D14)</f>
        <v>1</v>
      </c>
      <c r="F14" s="28" t="str">
        <f t="shared" si="0"/>
        <v>1</v>
      </c>
      <c r="G14" s="40">
        <v>0</v>
      </c>
      <c r="H14" s="33">
        <f t="shared" si="1"/>
        <v>1</v>
      </c>
      <c r="J14" s="45" t="str">
        <f>HYPERLINK("#oneUnitChocoChips()",_xlfn.CONCAT("Add 1 ",C14," of ",B14))</f>
        <v>Add 1 Cup of Chocolate chips</v>
      </c>
      <c r="K14" s="45" t="str">
        <f>HYPERLINK("#oneFracChocoChips()",IF(F14="1","", _xlfn.CONCAT("Add 1/",F14," ",C14," of ",B14)))</f>
        <v/>
      </c>
    </row>
    <row r="16" spans="1:11" ht="16.5" x14ac:dyDescent="0.3">
      <c r="E16" s="29"/>
      <c r="F16" s="29"/>
      <c r="G16" s="29"/>
    </row>
  </sheetData>
  <sheetProtection sheet="1" objects="1" scenarios="1" selectLockedCells="1"/>
  <mergeCells count="3">
    <mergeCell ref="A5:A7"/>
    <mergeCell ref="A8:A9"/>
    <mergeCell ref="A10:A14"/>
  </mergeCells>
  <conditionalFormatting sqref="H5:H14">
    <cfRule type="cellIs" dxfId="2" priority="1" operator="lessThan">
      <formula>0</formula>
    </cfRule>
    <cfRule type="cellIs" dxfId="1" priority="3" operator="equal">
      <formula>0</formula>
    </cfRule>
  </conditionalFormatting>
  <conditionalFormatting sqref="J5:K14">
    <cfRule type="containsBlanks" dxfId="0" priority="2">
      <formula>LEN(TRIM(J5))=0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048591-73C8-4845-A8A1-63783A2ADBD7}">
          <x14:formula1>
            <xm:f>Data!$B$18:$B$29</xm:f>
          </x14:formula1>
          <xm:sqref>C5:C7 C9:C14</xm:sqref>
        </x14:dataValidation>
        <x14:dataValidation type="list" allowBlank="1" showInputMessage="1" showErrorMessage="1" xr:uid="{4FA8918E-D6EF-4C4C-B547-499292BB1CBF}">
          <x14:formula1>
            <xm:f>Data!$D$18</xm:f>
          </x14:formula1>
          <xm:sqref>C8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9A9C8-099A-4823-B85C-412D227A3DC2}">
  <sheetPr codeName="Sheet3"/>
  <dimension ref="B2:B9"/>
  <sheetViews>
    <sheetView workbookViewId="0">
      <selection activeCell="B2" sqref="B2"/>
    </sheetView>
  </sheetViews>
  <sheetFormatPr defaultRowHeight="15.75" x14ac:dyDescent="0.25"/>
  <sheetData>
    <row r="2" spans="2:2" x14ac:dyDescent="0.25">
      <c r="B2" t="s">
        <v>47</v>
      </c>
    </row>
    <row r="3" spans="2:2" x14ac:dyDescent="0.25">
      <c r="B3" t="s">
        <v>49</v>
      </c>
    </row>
    <row r="4" spans="2:2" x14ac:dyDescent="0.25">
      <c r="B4" t="s">
        <v>48</v>
      </c>
    </row>
    <row r="5" spans="2:2" x14ac:dyDescent="0.25">
      <c r="B5" t="s">
        <v>51</v>
      </c>
    </row>
    <row r="6" spans="2:2" x14ac:dyDescent="0.25">
      <c r="B6" t="s">
        <v>50</v>
      </c>
    </row>
    <row r="7" spans="2:2" x14ac:dyDescent="0.25">
      <c r="B7" t="s">
        <v>52</v>
      </c>
    </row>
    <row r="8" spans="2:2" x14ac:dyDescent="0.25">
      <c r="B8" t="s">
        <v>53</v>
      </c>
    </row>
    <row r="9" spans="2:2" x14ac:dyDescent="0.25">
      <c r="B9" t="s">
        <v>54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Cookies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Penelope Gomez</dc:creator>
  <cp:lastModifiedBy>Penelope Gomez</cp:lastModifiedBy>
  <dcterms:created xsi:type="dcterms:W3CDTF">2019-09-17T01:47:30Z</dcterms:created>
  <dcterms:modified xsi:type="dcterms:W3CDTF">2022-12-05T20:34:00Z</dcterms:modified>
</cp:coreProperties>
</file>